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5220" windowWidth="17490" windowHeight="5820" tabRatio="750"/>
  </bookViews>
  <sheets>
    <sheet name="Kli. Bairo Pite 2025" sheetId="79" r:id="rId1"/>
    <sheet name="Sheet1" sheetId="80" r:id="rId2"/>
    <sheet name="Sheet2" sheetId="89" r:id="rId3"/>
  </sheets>
  <calcPr calcId="144525"/>
</workbook>
</file>

<file path=xl/calcChain.xml><?xml version="1.0" encoding="utf-8"?>
<calcChain xmlns="http://schemas.openxmlformats.org/spreadsheetml/2006/main">
  <c r="AA918" i="79" l="1"/>
  <c r="V918" i="79"/>
  <c r="R918" i="79"/>
  <c r="N918" i="79"/>
  <c r="F918" i="79"/>
  <c r="A918" i="79"/>
  <c r="AA912" i="79"/>
  <c r="V912" i="79"/>
  <c r="T912" i="79"/>
  <c r="Q912" i="79"/>
  <c r="N912" i="79"/>
  <c r="K912" i="79"/>
  <c r="I912" i="79"/>
  <c r="G912" i="79"/>
  <c r="E912" i="79"/>
  <c r="C912" i="79"/>
  <c r="A912" i="79"/>
  <c r="Y905" i="79"/>
  <c r="X905" i="79"/>
  <c r="W905" i="79"/>
  <c r="V905" i="79"/>
  <c r="U905" i="79"/>
  <c r="T905" i="79"/>
  <c r="S905" i="79"/>
  <c r="R905" i="79"/>
  <c r="Q905" i="79"/>
  <c r="P905" i="79"/>
  <c r="O905" i="79"/>
  <c r="N905" i="79"/>
  <c r="M905" i="79"/>
  <c r="L905" i="79"/>
  <c r="K905" i="79"/>
  <c r="J905" i="79"/>
  <c r="Y904" i="79"/>
  <c r="X904" i="79"/>
  <c r="W904" i="79"/>
  <c r="V904" i="79"/>
  <c r="U904" i="79"/>
  <c r="T904" i="79"/>
  <c r="S904" i="79"/>
  <c r="R904" i="79"/>
  <c r="Q904" i="79"/>
  <c r="P904" i="79"/>
  <c r="O904" i="79"/>
  <c r="N904" i="79"/>
  <c r="M904" i="79"/>
  <c r="L904" i="79"/>
  <c r="K904" i="79"/>
  <c r="J904" i="79"/>
  <c r="Y903" i="79"/>
  <c r="X903" i="79"/>
  <c r="W903" i="79"/>
  <c r="V903" i="79"/>
  <c r="U903" i="79"/>
  <c r="T903" i="79"/>
  <c r="S903" i="79"/>
  <c r="R903" i="79"/>
  <c r="Q903" i="79"/>
  <c r="P903" i="79"/>
  <c r="O903" i="79"/>
  <c r="N903" i="79"/>
  <c r="M903" i="79"/>
  <c r="L903" i="79"/>
  <c r="K903" i="79"/>
  <c r="J903" i="79"/>
  <c r="Y902" i="79"/>
  <c r="X902" i="79"/>
  <c r="W902" i="79"/>
  <c r="V902" i="79"/>
  <c r="U902" i="79"/>
  <c r="T902" i="79"/>
  <c r="S902" i="79"/>
  <c r="R902" i="79"/>
  <c r="Q902" i="79"/>
  <c r="P902" i="79"/>
  <c r="O902" i="79"/>
  <c r="N902" i="79"/>
  <c r="M902" i="79"/>
  <c r="L902" i="79"/>
  <c r="K902" i="79"/>
  <c r="J902" i="79"/>
  <c r="Y901" i="79"/>
  <c r="X901" i="79"/>
  <c r="W901" i="79"/>
  <c r="V901" i="79"/>
  <c r="U901" i="79"/>
  <c r="T901" i="79"/>
  <c r="S901" i="79"/>
  <c r="R901" i="79"/>
  <c r="Q901" i="79"/>
  <c r="P901" i="79"/>
  <c r="O901" i="79"/>
  <c r="N901" i="79"/>
  <c r="M901" i="79"/>
  <c r="L901" i="79"/>
  <c r="K901" i="79"/>
  <c r="J901" i="79"/>
  <c r="Y900" i="79"/>
  <c r="X900" i="79"/>
  <c r="W900" i="79"/>
  <c r="V900" i="79"/>
  <c r="U900" i="79"/>
  <c r="T900" i="79"/>
  <c r="S900" i="79"/>
  <c r="R900" i="79"/>
  <c r="Q900" i="79"/>
  <c r="P900" i="79"/>
  <c r="O900" i="79"/>
  <c r="N900" i="79"/>
  <c r="M900" i="79"/>
  <c r="L900" i="79"/>
  <c r="K900" i="79"/>
  <c r="AA900" i="79" s="1"/>
  <c r="J900" i="79"/>
  <c r="Z900" i="79" s="1"/>
  <c r="V893" i="79"/>
  <c r="R893" i="79"/>
  <c r="O893" i="79"/>
  <c r="L893" i="79"/>
  <c r="V892" i="79"/>
  <c r="R892" i="79"/>
  <c r="O892" i="79"/>
  <c r="L892" i="79"/>
  <c r="V891" i="79"/>
  <c r="R891" i="79"/>
  <c r="O891" i="79"/>
  <c r="L891" i="79"/>
  <c r="V890" i="79"/>
  <c r="R890" i="79"/>
  <c r="O890" i="79"/>
  <c r="L890" i="79"/>
  <c r="AA847" i="79"/>
  <c r="Z847" i="79"/>
  <c r="AA846" i="79"/>
  <c r="Z846" i="79"/>
  <c r="AB846" i="79" s="1"/>
  <c r="AA845" i="79"/>
  <c r="AB845" i="79" s="1"/>
  <c r="Z845" i="79"/>
  <c r="AA844" i="79"/>
  <c r="Z844" i="79"/>
  <c r="AB844" i="79" s="1"/>
  <c r="AA843" i="79"/>
  <c r="Z843" i="79"/>
  <c r="AA842" i="79"/>
  <c r="Z842" i="79"/>
  <c r="AA835" i="79"/>
  <c r="AA834" i="79"/>
  <c r="AA833" i="79"/>
  <c r="AA832" i="79"/>
  <c r="AA789" i="79"/>
  <c r="AB789" i="79" s="1"/>
  <c r="Z789" i="79"/>
  <c r="AA788" i="79"/>
  <c r="AB788" i="79" s="1"/>
  <c r="Z788" i="79"/>
  <c r="AA787" i="79"/>
  <c r="AB787" i="79" s="1"/>
  <c r="Z787" i="79"/>
  <c r="AA786" i="79"/>
  <c r="AB786" i="79" s="1"/>
  <c r="Z786" i="79"/>
  <c r="AA785" i="79"/>
  <c r="Z785" i="79"/>
  <c r="AA784" i="79"/>
  <c r="Z784" i="79"/>
  <c r="AB784" i="79" s="1"/>
  <c r="AA777" i="79"/>
  <c r="AA776" i="79"/>
  <c r="AA775" i="79"/>
  <c r="AA774" i="79"/>
  <c r="AA731" i="79"/>
  <c r="Z731" i="79"/>
  <c r="AA730" i="79"/>
  <c r="AB730" i="79" s="1"/>
  <c r="Z730" i="79"/>
  <c r="AA729" i="79"/>
  <c r="AB729" i="79" s="1"/>
  <c r="Z729" i="79"/>
  <c r="AA728" i="79"/>
  <c r="AB728" i="79" s="1"/>
  <c r="Z728" i="79"/>
  <c r="AA727" i="79"/>
  <c r="Z727" i="79"/>
  <c r="AA726" i="79"/>
  <c r="Z726" i="79"/>
  <c r="AA719" i="79"/>
  <c r="AA718" i="79"/>
  <c r="AA717" i="79"/>
  <c r="AA716" i="79"/>
  <c r="AA686" i="79"/>
  <c r="AA976" i="79" s="1"/>
  <c r="V686" i="79"/>
  <c r="V976" i="79" s="1"/>
  <c r="R686" i="79"/>
  <c r="N686" i="79"/>
  <c r="F686" i="79"/>
  <c r="F976" i="79" s="1"/>
  <c r="A686" i="79"/>
  <c r="A976" i="79" s="1"/>
  <c r="AA680" i="79"/>
  <c r="AA970" i="79" s="1"/>
  <c r="V680" i="79"/>
  <c r="V970" i="79" s="1"/>
  <c r="T680" i="79"/>
  <c r="T970" i="79" s="1"/>
  <c r="Q680" i="79"/>
  <c r="Q970" i="79" s="1"/>
  <c r="N680" i="79"/>
  <c r="N970" i="79" s="1"/>
  <c r="K680" i="79"/>
  <c r="K970" i="79" s="1"/>
  <c r="I680" i="79"/>
  <c r="G680" i="79"/>
  <c r="G970" i="79" s="1"/>
  <c r="E680" i="79"/>
  <c r="E970" i="79" s="1"/>
  <c r="C680" i="79"/>
  <c r="A680" i="79"/>
  <c r="Y673" i="79"/>
  <c r="X673" i="79"/>
  <c r="X963" i="79" s="1"/>
  <c r="W673" i="79"/>
  <c r="W963" i="79" s="1"/>
  <c r="V673" i="79"/>
  <c r="V963" i="79" s="1"/>
  <c r="U673" i="79"/>
  <c r="U963" i="79" s="1"/>
  <c r="T673" i="79"/>
  <c r="T963" i="79" s="1"/>
  <c r="S673" i="79"/>
  <c r="S963" i="79" s="1"/>
  <c r="R673" i="79"/>
  <c r="R963" i="79" s="1"/>
  <c r="Q673" i="79"/>
  <c r="Q963" i="79" s="1"/>
  <c r="P673" i="79"/>
  <c r="P963" i="79" s="1"/>
  <c r="O673" i="79"/>
  <c r="O963" i="79" s="1"/>
  <c r="N673" i="79"/>
  <c r="N963" i="79" s="1"/>
  <c r="M673" i="79"/>
  <c r="M963" i="79" s="1"/>
  <c r="L673" i="79"/>
  <c r="L963" i="79" s="1"/>
  <c r="K673" i="79"/>
  <c r="K963" i="79" s="1"/>
  <c r="J673" i="79"/>
  <c r="J963" i="79" s="1"/>
  <c r="Y672" i="79"/>
  <c r="Y962" i="79" s="1"/>
  <c r="X672" i="79"/>
  <c r="W672" i="79"/>
  <c r="W962" i="79" s="1"/>
  <c r="V672" i="79"/>
  <c r="V962" i="79" s="1"/>
  <c r="U672" i="79"/>
  <c r="U962" i="79" s="1"/>
  <c r="T672" i="79"/>
  <c r="T962" i="79" s="1"/>
  <c r="S672" i="79"/>
  <c r="S962" i="79" s="1"/>
  <c r="R672" i="79"/>
  <c r="R962" i="79" s="1"/>
  <c r="Q672" i="79"/>
  <c r="Q962" i="79" s="1"/>
  <c r="P672" i="79"/>
  <c r="P962" i="79" s="1"/>
  <c r="O672" i="79"/>
  <c r="O962" i="79" s="1"/>
  <c r="N672" i="79"/>
  <c r="N962" i="79" s="1"/>
  <c r="M672" i="79"/>
  <c r="M962" i="79" s="1"/>
  <c r="L672" i="79"/>
  <c r="L962" i="79" s="1"/>
  <c r="K672" i="79"/>
  <c r="K962" i="79" s="1"/>
  <c r="J672" i="79"/>
  <c r="J962" i="79" s="1"/>
  <c r="Y671" i="79"/>
  <c r="X671" i="79"/>
  <c r="X961" i="79" s="1"/>
  <c r="W671" i="79"/>
  <c r="W961" i="79" s="1"/>
  <c r="V671" i="79"/>
  <c r="V961" i="79" s="1"/>
  <c r="U671" i="79"/>
  <c r="U961" i="79" s="1"/>
  <c r="T671" i="79"/>
  <c r="T961" i="79" s="1"/>
  <c r="S671" i="79"/>
  <c r="S961" i="79" s="1"/>
  <c r="R671" i="79"/>
  <c r="R961" i="79" s="1"/>
  <c r="Q671" i="79"/>
  <c r="Q961" i="79" s="1"/>
  <c r="P671" i="79"/>
  <c r="P961" i="79" s="1"/>
  <c r="O671" i="79"/>
  <c r="O961" i="79" s="1"/>
  <c r="N671" i="79"/>
  <c r="N961" i="79" s="1"/>
  <c r="M671" i="79"/>
  <c r="M961" i="79" s="1"/>
  <c r="L671" i="79"/>
  <c r="L961" i="79" s="1"/>
  <c r="K671" i="79"/>
  <c r="K961" i="79" s="1"/>
  <c r="J671" i="79"/>
  <c r="J961" i="79" s="1"/>
  <c r="Y670" i="79"/>
  <c r="Y960" i="79" s="1"/>
  <c r="X670" i="79"/>
  <c r="W670" i="79"/>
  <c r="W960" i="79" s="1"/>
  <c r="V670" i="79"/>
  <c r="V960" i="79" s="1"/>
  <c r="U670" i="79"/>
  <c r="U960" i="79" s="1"/>
  <c r="T670" i="79"/>
  <c r="T960" i="79" s="1"/>
  <c r="S670" i="79"/>
  <c r="S960" i="79" s="1"/>
  <c r="R670" i="79"/>
  <c r="R960" i="79" s="1"/>
  <c r="Q670" i="79"/>
  <c r="Q960" i="79" s="1"/>
  <c r="P670" i="79"/>
  <c r="P960" i="79" s="1"/>
  <c r="O670" i="79"/>
  <c r="O960" i="79" s="1"/>
  <c r="N670" i="79"/>
  <c r="N960" i="79" s="1"/>
  <c r="M670" i="79"/>
  <c r="M960" i="79" s="1"/>
  <c r="L670" i="79"/>
  <c r="L960" i="79" s="1"/>
  <c r="K670" i="79"/>
  <c r="K960" i="79" s="1"/>
  <c r="J670" i="79"/>
  <c r="J960" i="79" s="1"/>
  <c r="Y669" i="79"/>
  <c r="X669" i="79"/>
  <c r="X959" i="79" s="1"/>
  <c r="W669" i="79"/>
  <c r="W959" i="79" s="1"/>
  <c r="V669" i="79"/>
  <c r="V959" i="79" s="1"/>
  <c r="U669" i="79"/>
  <c r="U959" i="79" s="1"/>
  <c r="T669" i="79"/>
  <c r="T959" i="79" s="1"/>
  <c r="S669" i="79"/>
  <c r="S959" i="79" s="1"/>
  <c r="R669" i="79"/>
  <c r="R959" i="79" s="1"/>
  <c r="Q669" i="79"/>
  <c r="Q959" i="79" s="1"/>
  <c r="P669" i="79"/>
  <c r="P959" i="79" s="1"/>
  <c r="O669" i="79"/>
  <c r="O959" i="79" s="1"/>
  <c r="N669" i="79"/>
  <c r="N959" i="79" s="1"/>
  <c r="M669" i="79"/>
  <c r="M959" i="79" s="1"/>
  <c r="L669" i="79"/>
  <c r="L959" i="79" s="1"/>
  <c r="K669" i="79"/>
  <c r="K959" i="79" s="1"/>
  <c r="J669" i="79"/>
  <c r="J959" i="79" s="1"/>
  <c r="Y668" i="79"/>
  <c r="Y958" i="79" s="1"/>
  <c r="X668" i="79"/>
  <c r="X958" i="79" s="1"/>
  <c r="W668" i="79"/>
  <c r="W958" i="79" s="1"/>
  <c r="V668" i="79"/>
  <c r="V958" i="79" s="1"/>
  <c r="U668" i="79"/>
  <c r="U958" i="79" s="1"/>
  <c r="T668" i="79"/>
  <c r="T958" i="79" s="1"/>
  <c r="S668" i="79"/>
  <c r="S958" i="79" s="1"/>
  <c r="R668" i="79"/>
  <c r="R958" i="79" s="1"/>
  <c r="Q668" i="79"/>
  <c r="Q958" i="79" s="1"/>
  <c r="P668" i="79"/>
  <c r="P958" i="79" s="1"/>
  <c r="O668" i="79"/>
  <c r="O958" i="79" s="1"/>
  <c r="N668" i="79"/>
  <c r="N958" i="79" s="1"/>
  <c r="M668" i="79"/>
  <c r="M958" i="79" s="1"/>
  <c r="L668" i="79"/>
  <c r="L958" i="79" s="1"/>
  <c r="K668" i="79"/>
  <c r="K958" i="79" s="1"/>
  <c r="J668" i="79"/>
  <c r="V661" i="79"/>
  <c r="V951" i="79" s="1"/>
  <c r="R661" i="79"/>
  <c r="R951" i="79" s="1"/>
  <c r="O661" i="79"/>
  <c r="O951" i="79" s="1"/>
  <c r="L661" i="79"/>
  <c r="L951" i="79" s="1"/>
  <c r="V660" i="79"/>
  <c r="R660" i="79"/>
  <c r="R950" i="79" s="1"/>
  <c r="O660" i="79"/>
  <c r="O950" i="79" s="1"/>
  <c r="L660" i="79"/>
  <c r="V659" i="79"/>
  <c r="V949" i="79" s="1"/>
  <c r="R659" i="79"/>
  <c r="R949" i="79" s="1"/>
  <c r="O659" i="79"/>
  <c r="O949" i="79" s="1"/>
  <c r="L659" i="79"/>
  <c r="L949" i="79" s="1"/>
  <c r="V658" i="79"/>
  <c r="V948" i="79" s="1"/>
  <c r="R658" i="79"/>
  <c r="R948" i="79" s="1"/>
  <c r="O658" i="79"/>
  <c r="O948" i="79" s="1"/>
  <c r="L658" i="79"/>
  <c r="L948" i="79" s="1"/>
  <c r="AA615" i="79"/>
  <c r="AB615" i="79" s="1"/>
  <c r="Z615" i="79"/>
  <c r="AA614" i="79"/>
  <c r="AB614" i="79" s="1"/>
  <c r="Z614" i="79"/>
  <c r="AA613" i="79"/>
  <c r="AB613" i="79" s="1"/>
  <c r="Z613" i="79"/>
  <c r="AA612" i="79"/>
  <c r="AB612" i="79" s="1"/>
  <c r="Z612" i="79"/>
  <c r="AA611" i="79"/>
  <c r="Z611" i="79"/>
  <c r="AA610" i="79"/>
  <c r="Z610" i="79"/>
  <c r="AA603" i="79"/>
  <c r="AA602" i="79"/>
  <c r="AA601" i="79"/>
  <c r="AA600" i="79"/>
  <c r="AA557" i="79"/>
  <c r="Z557" i="79"/>
  <c r="AA556" i="79"/>
  <c r="AB556" i="79" s="1"/>
  <c r="Z556" i="79"/>
  <c r="AA555" i="79"/>
  <c r="AB555" i="79" s="1"/>
  <c r="Z555" i="79"/>
  <c r="AA554" i="79"/>
  <c r="AB554" i="79" s="1"/>
  <c r="Z554" i="79"/>
  <c r="AA553" i="79"/>
  <c r="Z553" i="79"/>
  <c r="AA552" i="79"/>
  <c r="Z552" i="79"/>
  <c r="AA545" i="79"/>
  <c r="AA544" i="79"/>
  <c r="AA543" i="79"/>
  <c r="AA542" i="79"/>
  <c r="AA499" i="79"/>
  <c r="AB499" i="79" s="1"/>
  <c r="Z499" i="79"/>
  <c r="AA498" i="79"/>
  <c r="AB498" i="79" s="1"/>
  <c r="Z498" i="79"/>
  <c r="AA497" i="79"/>
  <c r="AB497" i="79" s="1"/>
  <c r="Z497" i="79"/>
  <c r="AA496" i="79"/>
  <c r="AB496" i="79" s="1"/>
  <c r="Z496" i="79"/>
  <c r="AA495" i="79"/>
  <c r="Z495" i="79"/>
  <c r="AA494" i="79"/>
  <c r="Z494" i="79"/>
  <c r="AA487" i="79"/>
  <c r="AA486" i="79"/>
  <c r="AA485" i="79"/>
  <c r="AA484" i="79"/>
  <c r="AA454" i="79"/>
  <c r="V454" i="79"/>
  <c r="R454" i="79"/>
  <c r="N454" i="79"/>
  <c r="F454" i="79"/>
  <c r="A454" i="79"/>
  <c r="AA448" i="79"/>
  <c r="V448" i="79"/>
  <c r="T448" i="79"/>
  <c r="Q448" i="79"/>
  <c r="N448" i="79"/>
  <c r="K448" i="79"/>
  <c r="I448" i="79"/>
  <c r="G448" i="79"/>
  <c r="E448" i="79"/>
  <c r="C448" i="79"/>
  <c r="A448" i="79"/>
  <c r="AB441" i="79"/>
  <c r="AA441" i="79"/>
  <c r="Z441" i="79"/>
  <c r="Y441" i="79"/>
  <c r="X441" i="79"/>
  <c r="W441" i="79"/>
  <c r="V441" i="79"/>
  <c r="U441" i="79"/>
  <c r="T441" i="79"/>
  <c r="S441" i="79"/>
  <c r="R441" i="79"/>
  <c r="Q441" i="79"/>
  <c r="P441" i="79"/>
  <c r="O441" i="79"/>
  <c r="N441" i="79"/>
  <c r="M441" i="79"/>
  <c r="L441" i="79"/>
  <c r="K441" i="79"/>
  <c r="J441" i="79"/>
  <c r="AB440" i="79"/>
  <c r="AA440" i="79"/>
  <c r="Z440" i="79"/>
  <c r="Y440" i="79"/>
  <c r="X440" i="79"/>
  <c r="W440" i="79"/>
  <c r="V440" i="79"/>
  <c r="U440" i="79"/>
  <c r="T440" i="79"/>
  <c r="S440" i="79"/>
  <c r="R440" i="79"/>
  <c r="Q440" i="79"/>
  <c r="P440" i="79"/>
  <c r="O440" i="79"/>
  <c r="N440" i="79"/>
  <c r="M440" i="79"/>
  <c r="L440" i="79"/>
  <c r="K440" i="79"/>
  <c r="J440" i="79"/>
  <c r="AB439" i="79"/>
  <c r="AA439" i="79"/>
  <c r="Z439" i="79"/>
  <c r="Y439" i="79"/>
  <c r="X439" i="79"/>
  <c r="W439" i="79"/>
  <c r="V439" i="79"/>
  <c r="U439" i="79"/>
  <c r="T439" i="79"/>
  <c r="S439" i="79"/>
  <c r="R439" i="79"/>
  <c r="Q439" i="79"/>
  <c r="P439" i="79"/>
  <c r="O439" i="79"/>
  <c r="N439" i="79"/>
  <c r="M439" i="79"/>
  <c r="L439" i="79"/>
  <c r="K439" i="79"/>
  <c r="J439" i="79"/>
  <c r="AB438" i="79"/>
  <c r="AA438" i="79"/>
  <c r="Z438" i="79"/>
  <c r="Y438" i="79"/>
  <c r="X438" i="79"/>
  <c r="W438" i="79"/>
  <c r="V438" i="79"/>
  <c r="U438" i="79"/>
  <c r="T438" i="79"/>
  <c r="S438" i="79"/>
  <c r="R438" i="79"/>
  <c r="Q438" i="79"/>
  <c r="P438" i="79"/>
  <c r="O438" i="79"/>
  <c r="N438" i="79"/>
  <c r="M438" i="79"/>
  <c r="L438" i="79"/>
  <c r="K438" i="79"/>
  <c r="J438" i="79"/>
  <c r="AB437" i="79"/>
  <c r="AA437" i="79"/>
  <c r="Z437" i="79"/>
  <c r="Y437" i="79"/>
  <c r="X437" i="79"/>
  <c r="W437" i="79"/>
  <c r="V437" i="79"/>
  <c r="U437" i="79"/>
  <c r="T437" i="79"/>
  <c r="S437" i="79"/>
  <c r="R437" i="79"/>
  <c r="Q437" i="79"/>
  <c r="P437" i="79"/>
  <c r="O437" i="79"/>
  <c r="N437" i="79"/>
  <c r="M437" i="79"/>
  <c r="L437" i="79"/>
  <c r="K437" i="79"/>
  <c r="J437" i="79"/>
  <c r="AB436" i="79"/>
  <c r="AA436" i="79"/>
  <c r="Z436" i="79"/>
  <c r="Y436" i="79"/>
  <c r="X436" i="79"/>
  <c r="W436" i="79"/>
  <c r="V436" i="79"/>
  <c r="U436" i="79"/>
  <c r="T436" i="79"/>
  <c r="S436" i="79"/>
  <c r="R436" i="79"/>
  <c r="Q436" i="79"/>
  <c r="P436" i="79"/>
  <c r="O436" i="79"/>
  <c r="N436" i="79"/>
  <c r="M436" i="79"/>
  <c r="L436" i="79"/>
  <c r="K436" i="79"/>
  <c r="J436" i="79"/>
  <c r="AA429" i="79"/>
  <c r="V429" i="79"/>
  <c r="R429" i="79"/>
  <c r="O429" i="79"/>
  <c r="L429" i="79"/>
  <c r="AA428" i="79"/>
  <c r="V428" i="79"/>
  <c r="R428" i="79"/>
  <c r="O428" i="79"/>
  <c r="L428" i="79"/>
  <c r="AA427" i="79"/>
  <c r="V427" i="79"/>
  <c r="R427" i="79"/>
  <c r="O427" i="79"/>
  <c r="L427" i="79"/>
  <c r="AA426" i="79"/>
  <c r="V426" i="79"/>
  <c r="R426" i="79"/>
  <c r="O426" i="79"/>
  <c r="L426" i="79"/>
  <c r="AB383" i="79"/>
  <c r="AA383" i="79"/>
  <c r="Z383" i="79"/>
  <c r="AB382" i="79"/>
  <c r="AA382" i="79"/>
  <c r="Z382" i="79"/>
  <c r="AB381" i="79"/>
  <c r="AA381" i="79"/>
  <c r="Z381" i="79"/>
  <c r="AB380" i="79"/>
  <c r="AA380" i="79"/>
  <c r="Z380" i="79"/>
  <c r="AB379" i="79"/>
  <c r="AA379" i="79"/>
  <c r="Z379" i="79"/>
  <c r="AB378" i="79"/>
  <c r="AA378" i="79"/>
  <c r="Z378" i="79"/>
  <c r="AA371" i="79"/>
  <c r="AA370" i="79"/>
  <c r="AA369" i="79"/>
  <c r="AA368" i="79"/>
  <c r="AB325" i="79"/>
  <c r="AA325" i="79"/>
  <c r="Z325" i="79"/>
  <c r="AB324" i="79"/>
  <c r="AA324" i="79"/>
  <c r="Z324" i="79"/>
  <c r="AB323" i="79"/>
  <c r="AA323" i="79"/>
  <c r="Z323" i="79"/>
  <c r="AB322" i="79"/>
  <c r="AA322" i="79"/>
  <c r="Z322" i="79"/>
  <c r="AB321" i="79"/>
  <c r="AA321" i="79"/>
  <c r="Z321" i="79"/>
  <c r="AB320" i="79"/>
  <c r="AA320" i="79"/>
  <c r="Z320" i="79"/>
  <c r="AA313" i="79"/>
  <c r="AA312" i="79"/>
  <c r="AA311" i="79"/>
  <c r="AA310" i="79"/>
  <c r="AB267" i="79"/>
  <c r="AA267" i="79"/>
  <c r="Z267" i="79"/>
  <c r="AB266" i="79"/>
  <c r="AA266" i="79"/>
  <c r="Z266" i="79"/>
  <c r="AB265" i="79"/>
  <c r="AA265" i="79"/>
  <c r="Z265" i="79"/>
  <c r="AB264" i="79"/>
  <c r="AA264" i="79"/>
  <c r="Z264" i="79"/>
  <c r="AB263" i="79"/>
  <c r="AA263" i="79"/>
  <c r="Z263" i="79"/>
  <c r="AB262" i="79"/>
  <c r="AA262" i="79"/>
  <c r="Z262" i="79"/>
  <c r="AA255" i="79"/>
  <c r="AA254" i="79"/>
  <c r="AA253" i="79"/>
  <c r="AA252" i="79"/>
  <c r="AA222" i="79"/>
  <c r="V222" i="79"/>
  <c r="R222" i="79"/>
  <c r="N222" i="79"/>
  <c r="F222" i="79"/>
  <c r="A222" i="79"/>
  <c r="AA216" i="79"/>
  <c r="V216" i="79"/>
  <c r="T216" i="79"/>
  <c r="Q216" i="79"/>
  <c r="N216" i="79"/>
  <c r="K216" i="79"/>
  <c r="I216" i="79"/>
  <c r="G216" i="79"/>
  <c r="E216" i="79"/>
  <c r="C216" i="79"/>
  <c r="A216" i="79"/>
  <c r="AB209" i="79"/>
  <c r="AA209" i="79"/>
  <c r="Z209" i="79"/>
  <c r="Y209" i="79"/>
  <c r="X209" i="79"/>
  <c r="W209" i="79"/>
  <c r="V209" i="79"/>
  <c r="U209" i="79"/>
  <c r="T209" i="79"/>
  <c r="S209" i="79"/>
  <c r="R209" i="79"/>
  <c r="Q209" i="79"/>
  <c r="P209" i="79"/>
  <c r="O209" i="79"/>
  <c r="N209" i="79"/>
  <c r="M209" i="79"/>
  <c r="L209" i="79"/>
  <c r="K209" i="79"/>
  <c r="J209" i="79"/>
  <c r="AB208" i="79"/>
  <c r="AA208" i="79"/>
  <c r="Z208" i="79"/>
  <c r="Y208" i="79"/>
  <c r="X208" i="79"/>
  <c r="W208" i="79"/>
  <c r="V208" i="79"/>
  <c r="U208" i="79"/>
  <c r="T208" i="79"/>
  <c r="S208" i="79"/>
  <c r="R208" i="79"/>
  <c r="Q208" i="79"/>
  <c r="P208" i="79"/>
  <c r="O208" i="79"/>
  <c r="N208" i="79"/>
  <c r="M208" i="79"/>
  <c r="L208" i="79"/>
  <c r="K208" i="79"/>
  <c r="J208" i="79"/>
  <c r="AB207" i="79"/>
  <c r="AA207" i="79"/>
  <c r="Z207" i="79"/>
  <c r="Y207" i="79"/>
  <c r="X207" i="79"/>
  <c r="W207" i="79"/>
  <c r="V207" i="79"/>
  <c r="U207" i="79"/>
  <c r="T207" i="79"/>
  <c r="S207" i="79"/>
  <c r="R207" i="79"/>
  <c r="Q207" i="79"/>
  <c r="P207" i="79"/>
  <c r="O207" i="79"/>
  <c r="N207" i="79"/>
  <c r="M207" i="79"/>
  <c r="L207" i="79"/>
  <c r="K207" i="79"/>
  <c r="J207" i="79"/>
  <c r="AB206" i="79"/>
  <c r="AA206" i="79"/>
  <c r="Z206" i="79"/>
  <c r="Y206" i="79"/>
  <c r="X206" i="79"/>
  <c r="W206" i="79"/>
  <c r="V206" i="79"/>
  <c r="U206" i="79"/>
  <c r="T206" i="79"/>
  <c r="S206" i="79"/>
  <c r="R206" i="79"/>
  <c r="Q206" i="79"/>
  <c r="P206" i="79"/>
  <c r="O206" i="79"/>
  <c r="N206" i="79"/>
  <c r="M206" i="79"/>
  <c r="L206" i="79"/>
  <c r="K206" i="79"/>
  <c r="J206" i="79"/>
  <c r="AB205" i="79"/>
  <c r="AA205" i="79"/>
  <c r="Z205" i="79"/>
  <c r="Y205" i="79"/>
  <c r="X205" i="79"/>
  <c r="W205" i="79"/>
  <c r="V205" i="79"/>
  <c r="U205" i="79"/>
  <c r="T205" i="79"/>
  <c r="S205" i="79"/>
  <c r="R205" i="79"/>
  <c r="Q205" i="79"/>
  <c r="P205" i="79"/>
  <c r="O205" i="79"/>
  <c r="N205" i="79"/>
  <c r="M205" i="79"/>
  <c r="L205" i="79"/>
  <c r="K205" i="79"/>
  <c r="J205" i="79"/>
  <c r="AB204" i="79"/>
  <c r="AA204" i="79"/>
  <c r="Z204" i="79"/>
  <c r="Y204" i="79"/>
  <c r="X204" i="79"/>
  <c r="W204" i="79"/>
  <c r="V204" i="79"/>
  <c r="U204" i="79"/>
  <c r="T204" i="79"/>
  <c r="S204" i="79"/>
  <c r="R204" i="79"/>
  <c r="Q204" i="79"/>
  <c r="P204" i="79"/>
  <c r="O204" i="79"/>
  <c r="N204" i="79"/>
  <c r="M204" i="79"/>
  <c r="L204" i="79"/>
  <c r="K204" i="79"/>
  <c r="J204" i="79"/>
  <c r="AA197" i="79"/>
  <c r="V197" i="79"/>
  <c r="R197" i="79"/>
  <c r="O197" i="79"/>
  <c r="L197" i="79"/>
  <c r="AA196" i="79"/>
  <c r="V196" i="79"/>
  <c r="R196" i="79"/>
  <c r="O196" i="79"/>
  <c r="L196" i="79"/>
  <c r="AA195" i="79"/>
  <c r="V195" i="79"/>
  <c r="R195" i="79"/>
  <c r="O195" i="79"/>
  <c r="L195" i="79"/>
  <c r="AA194" i="79"/>
  <c r="V194" i="79"/>
  <c r="R194" i="79"/>
  <c r="O194" i="79"/>
  <c r="L194" i="79"/>
  <c r="AB151" i="79"/>
  <c r="AA151" i="79"/>
  <c r="Z151" i="79"/>
  <c r="AB150" i="79"/>
  <c r="AA150" i="79"/>
  <c r="Z150" i="79"/>
  <c r="AB149" i="79"/>
  <c r="AA149" i="79"/>
  <c r="Z149" i="79"/>
  <c r="AB148" i="79"/>
  <c r="AA148" i="79"/>
  <c r="Z148" i="79"/>
  <c r="AB147" i="79"/>
  <c r="AA147" i="79"/>
  <c r="Z147" i="79"/>
  <c r="AB146" i="79"/>
  <c r="AA146" i="79"/>
  <c r="Z146" i="79"/>
  <c r="AA139" i="79"/>
  <c r="AA138" i="79"/>
  <c r="AA137" i="79"/>
  <c r="AA136" i="79"/>
  <c r="AB93" i="79"/>
  <c r="AA93" i="79"/>
  <c r="Z93" i="79"/>
  <c r="AB92" i="79"/>
  <c r="AA92" i="79"/>
  <c r="Z92" i="79"/>
  <c r="AB91" i="79"/>
  <c r="AA91" i="79"/>
  <c r="Z91" i="79"/>
  <c r="AB90" i="79"/>
  <c r="AA90" i="79"/>
  <c r="Z90" i="79"/>
  <c r="AB89" i="79"/>
  <c r="AA89" i="79"/>
  <c r="Z89" i="79"/>
  <c r="AB88" i="79"/>
  <c r="AA88" i="79"/>
  <c r="Z88" i="79"/>
  <c r="AA81" i="79"/>
  <c r="AA80" i="79"/>
  <c r="AA79" i="79"/>
  <c r="AA78" i="79"/>
  <c r="AB35" i="79"/>
  <c r="AA35" i="79"/>
  <c r="Z35" i="79"/>
  <c r="AB34" i="79"/>
  <c r="AA34" i="79"/>
  <c r="Z34" i="79"/>
  <c r="AB33" i="79"/>
  <c r="AA33" i="79"/>
  <c r="Z33" i="79"/>
  <c r="AB32" i="79"/>
  <c r="AA32" i="79"/>
  <c r="Z32" i="79"/>
  <c r="AB31" i="79"/>
  <c r="AA31" i="79"/>
  <c r="Z31" i="79"/>
  <c r="AB30" i="79"/>
  <c r="AA30" i="79"/>
  <c r="Z30" i="79"/>
  <c r="AA23" i="79"/>
  <c r="AA22" i="79"/>
  <c r="AA21" i="79"/>
  <c r="AA20" i="79"/>
  <c r="AB731" i="79" l="1"/>
  <c r="C970" i="79"/>
  <c r="A970" i="79"/>
  <c r="AB847" i="79"/>
  <c r="AB843" i="79"/>
  <c r="AB842" i="79"/>
  <c r="I970" i="79"/>
  <c r="AB785" i="79"/>
  <c r="Z902" i="79"/>
  <c r="Z903" i="79"/>
  <c r="Z904" i="79"/>
  <c r="Z905" i="79"/>
  <c r="AB905" i="79" s="1"/>
  <c r="AA902" i="79"/>
  <c r="AA903" i="79"/>
  <c r="AA904" i="79"/>
  <c r="AA905" i="79"/>
  <c r="N976" i="79"/>
  <c r="R976" i="79"/>
  <c r="AB727" i="79"/>
  <c r="AA901" i="79"/>
  <c r="Z901" i="79"/>
  <c r="AB902" i="79"/>
  <c r="AB903" i="79"/>
  <c r="AB904" i="79"/>
  <c r="AB900" i="79"/>
  <c r="AB726" i="79"/>
  <c r="J958" i="79"/>
  <c r="AA893" i="79"/>
  <c r="V950" i="79"/>
  <c r="AA892" i="79"/>
  <c r="L950" i="79"/>
  <c r="AA891" i="79"/>
  <c r="AA890" i="79"/>
  <c r="AB611" i="79"/>
  <c r="AB610" i="79"/>
  <c r="AB557" i="79"/>
  <c r="AB553" i="79"/>
  <c r="AA673" i="79"/>
  <c r="Z670" i="79"/>
  <c r="Z672" i="79"/>
  <c r="AB552" i="79"/>
  <c r="AA671" i="79"/>
  <c r="AA669" i="79"/>
  <c r="AB495" i="79"/>
  <c r="Z959" i="79"/>
  <c r="Z961" i="79"/>
  <c r="Z963" i="79"/>
  <c r="AA960" i="79"/>
  <c r="AA962" i="79"/>
  <c r="Z669" i="79"/>
  <c r="AA670" i="79"/>
  <c r="AB670" i="79" s="1"/>
  <c r="Z671" i="79"/>
  <c r="AB671" i="79" s="1"/>
  <c r="AA672" i="79"/>
  <c r="AB672" i="79" s="1"/>
  <c r="Z673" i="79"/>
  <c r="AB673" i="79" s="1"/>
  <c r="Y959" i="79"/>
  <c r="AA959" i="79" s="1"/>
  <c r="AB959" i="79" s="1"/>
  <c r="X960" i="79"/>
  <c r="Z960" i="79" s="1"/>
  <c r="Y961" i="79"/>
  <c r="AA961" i="79" s="1"/>
  <c r="X962" i="79"/>
  <c r="Z962" i="79" s="1"/>
  <c r="Y963" i="79"/>
  <c r="AA963" i="79" s="1"/>
  <c r="AB963" i="79" s="1"/>
  <c r="AA668" i="79"/>
  <c r="AA958" i="79"/>
  <c r="Z958" i="79"/>
  <c r="AB494" i="79"/>
  <c r="Z668" i="79"/>
  <c r="AB668" i="79" s="1"/>
  <c r="AA951" i="79"/>
  <c r="AA661" i="79"/>
  <c r="AA950" i="79"/>
  <c r="AA660" i="79"/>
  <c r="AA949" i="79"/>
  <c r="AA659" i="79"/>
  <c r="AA948" i="79"/>
  <c r="AA658" i="79"/>
  <c r="AB961" i="79" l="1"/>
  <c r="AB901" i="79"/>
  <c r="AB669" i="79"/>
  <c r="AB962" i="79"/>
  <c r="AB960" i="79"/>
  <c r="AB958" i="79"/>
  <c r="AN52" i="79" l="1"/>
  <c r="AN516" i="79"/>
  <c r="AN980" i="79"/>
  <c r="AN922" i="79"/>
  <c r="AN632" i="79"/>
  <c r="AN458" i="79"/>
  <c r="AN400" i="79"/>
  <c r="AN168" i="79"/>
  <c r="AN342" i="79"/>
  <c r="AN864" i="79"/>
  <c r="AN110" i="79"/>
  <c r="AN226" i="79"/>
  <c r="AN284" i="79"/>
  <c r="AN806" i="79"/>
  <c r="AN748" i="79"/>
  <c r="AN690" i="79"/>
  <c r="AN574" i="79"/>
</calcChain>
</file>

<file path=xl/sharedStrings.xml><?xml version="1.0" encoding="utf-8"?>
<sst xmlns="http://schemas.openxmlformats.org/spreadsheetml/2006/main" count="1668" uniqueCount="99">
  <si>
    <t>Total</t>
  </si>
  <si>
    <t>M</t>
  </si>
  <si>
    <t>F</t>
  </si>
  <si>
    <t>15 - 24</t>
  </si>
  <si>
    <t>25 - 34</t>
  </si>
  <si>
    <t>35 - 44</t>
  </si>
  <si>
    <t>45 - 54</t>
  </si>
  <si>
    <t>55 - 64</t>
  </si>
  <si>
    <t>I</t>
  </si>
  <si>
    <t xml:space="preserve">0 - 4 </t>
  </si>
  <si>
    <t>5 - 14</t>
  </si>
  <si>
    <t>65 +</t>
  </si>
  <si>
    <t>b</t>
  </si>
  <si>
    <t>c</t>
  </si>
  <si>
    <t>d</t>
  </si>
  <si>
    <t>Foun</t>
  </si>
  <si>
    <t>Rekaida</t>
  </si>
  <si>
    <t>Seluk</t>
  </si>
  <si>
    <t>TINAN</t>
  </si>
  <si>
    <t>Aprova husi,</t>
  </si>
  <si>
    <t xml:space="preserve">Block 4: Atividade TB/HIV (Kazu hotu ne'ebe rejistu durante trimestre ida ne'e) </t>
  </si>
  <si>
    <t>Pasiente TB- HIV pozitivu</t>
  </si>
  <si>
    <t>Pasiente TB- HIV pozitivu no hetan ART</t>
  </si>
  <si>
    <t>Pasiente TB- HIV pozitivu no hetan CPT</t>
  </si>
  <si>
    <t xml:space="preserve">Block 5: Atividade TB &amp; Diabetes </t>
  </si>
  <si>
    <t xml:space="preserve">Block 6: Jestaun LTBI </t>
  </si>
  <si>
    <t>Pasiente TB mak halo teste FBS ho Glucometer</t>
  </si>
  <si>
    <t>Pasiente TB ho DM</t>
  </si>
  <si>
    <t>Nu. Labarik (&gt;2 anus to'o 14 anus) kontaktu besik no hetan 3HP</t>
  </si>
  <si>
    <t>Nu. Adultu kontaktu besik no hetan 3 HP</t>
  </si>
  <si>
    <t xml:space="preserve">MINISTÉRIO DA SAÚDE </t>
  </si>
  <si>
    <r>
      <t>Block 1 : Kazu TB hotu ne'ebe rejistu durante trimester ne'e</t>
    </r>
    <r>
      <rPr>
        <b/>
        <sz val="12"/>
        <color theme="1"/>
        <rFont val="Calibri"/>
        <family val="2"/>
      </rPr>
      <t>ᵇ</t>
    </r>
  </si>
  <si>
    <t>Kazu Re-Tratamentu ne'ebe la inclui rekadia</t>
  </si>
  <si>
    <t xml:space="preserve">Seluk </t>
  </si>
  <si>
    <t>Pulmaun, diagnoza kliniku</t>
  </si>
  <si>
    <t>Extrapulmonary, diagnoza kliniku</t>
  </si>
  <si>
    <t>Block 2: Kazu TB pulmaun no Ekstra Pulmaun hotu Foun no Re-Tratamentu (konfirmadu bakteriolojiku no diagnosa kliniku) rejistu durante trimester ne'e tuir idade no sexu</t>
  </si>
  <si>
    <t>Pulmaun, diagnoza kliniku (Foun no Rekaida)</t>
  </si>
  <si>
    <t>Extrapulmonary, diagnoza kliniku  (Foun no Rekaida)</t>
  </si>
  <si>
    <t>Re-Tratamentu (La Inklui Rekaida)</t>
  </si>
  <si>
    <t>DILI</t>
  </si>
  <si>
    <t>REPUBLICA DEMOCRATICA DE TIMOR LESTE</t>
  </si>
  <si>
    <t>II</t>
  </si>
  <si>
    <t>III</t>
  </si>
  <si>
    <t>IV</t>
  </si>
  <si>
    <t>I-IV</t>
  </si>
  <si>
    <t>SERVIÇO  SAÚDE MUNICIPIO DE DILI</t>
  </si>
  <si>
    <t>FULAN</t>
  </si>
  <si>
    <t>JANEIRO</t>
  </si>
  <si>
    <t>TOTAL</t>
  </si>
  <si>
    <t>FEVEREIRO</t>
  </si>
  <si>
    <t>MARÇO</t>
  </si>
  <si>
    <t>ABRIL</t>
  </si>
  <si>
    <t>MAIO</t>
  </si>
  <si>
    <t>JUNHO</t>
  </si>
  <si>
    <t>JULLU</t>
  </si>
  <si>
    <t>SETEMBRO</t>
  </si>
  <si>
    <t>OUTOBRO</t>
  </si>
  <si>
    <t>NOVEMBRO</t>
  </si>
  <si>
    <t>DEZEMBRO</t>
  </si>
  <si>
    <t>JOSE MAIA SOARES</t>
  </si>
  <si>
    <t>KLINIKA BAIRO PITE</t>
  </si>
  <si>
    <t>PROGRAMA NASIONAL KONTROLA TUBERKULOZU</t>
  </si>
  <si>
    <t>RELATORIO TRIMESTRAL DETEKSAUN KAZU TUBERKULOZU</t>
  </si>
  <si>
    <t>MUNISIPIU</t>
  </si>
  <si>
    <t>NARAN SENTRU DOT</t>
  </si>
  <si>
    <t>ASINATURA NO LORON KOMPLETA FORMATU IDA NE'E</t>
  </si>
  <si>
    <t>FASILIDADE SAUDE NIA NARAN</t>
  </si>
  <si>
    <t>MTA KA RESPONSAVEL TB</t>
  </si>
  <si>
    <t>Pulmaun, bakteriolojiku  konfirmadu</t>
  </si>
  <si>
    <t xml:space="preserve">Extrapulmaun, bakteriolojiku konfirmadu </t>
  </si>
  <si>
    <t>Pulmaun, bakteriolojiku konfirmadu  (Foun no Rekaida)</t>
  </si>
  <si>
    <t>Extrapulmaun, bakteriolojiku konfirmadu  (Foun no Rekaida)</t>
  </si>
  <si>
    <r>
      <t xml:space="preserve">Block 3: Atividade diagnostiku laboratoriu  </t>
    </r>
    <r>
      <rPr>
        <b/>
        <sz val="12"/>
        <color theme="1"/>
        <rFont val="Calibri"/>
        <family val="2"/>
      </rPr>
      <t>ͨ</t>
    </r>
  </si>
  <si>
    <t>Pasiente presumtivu TB ne'ebe halo ezaminasaun bakteriolojiku konfirmadu</t>
  </si>
  <si>
    <t>Pasiente presumtivu TB ne'ebe pozitivu iha ezaminasaun bakteriolojiku konfirmadu</t>
  </si>
  <si>
    <r>
      <t xml:space="preserve">Total kazu Foun no Rekaida husi ( </t>
    </r>
    <r>
      <rPr>
        <b/>
        <sz val="10"/>
        <color theme="1"/>
        <rFont val="Calibri"/>
        <family val="2"/>
        <scheme val="minor"/>
      </rPr>
      <t>Smear Microscopy bakteriolojiku konfiramdu</t>
    </r>
    <r>
      <rPr>
        <sz val="10"/>
        <color theme="1"/>
        <rFont val="Calibri"/>
        <family val="2"/>
        <scheme val="minor"/>
      </rPr>
      <t xml:space="preserve">)  nebe haruka teste ba  GeneXpert </t>
    </r>
  </si>
  <si>
    <t>pasiente ne'ebe halo teste ba HIV iha momentu diagnosa ba TB ou durante tratamentu OU hatene status HIV</t>
  </si>
  <si>
    <t>Smear Microscopy</t>
  </si>
  <si>
    <t xml:space="preserve">GeneXpert </t>
  </si>
  <si>
    <t>Total testo ba Gene Xpert</t>
  </si>
  <si>
    <t>Total La testo GeneXpert</t>
  </si>
  <si>
    <r>
      <t xml:space="preserve">Total(Tipu Kazu TB***  </t>
    </r>
    <r>
      <rPr>
        <b/>
        <sz val="10"/>
        <rFont val="Calibri"/>
        <family val="2"/>
        <scheme val="minor"/>
      </rPr>
      <t>PasienteTB  hotu-hotu</t>
    </r>
    <r>
      <rPr>
        <sz val="10"/>
        <rFont val="Calibri"/>
        <family val="2"/>
        <scheme val="minor"/>
      </rPr>
      <t xml:space="preserve"> nebe halo teste ba HIV</t>
    </r>
  </si>
  <si>
    <r>
      <t xml:space="preserve">Total (Tipu Kazu TB***  </t>
    </r>
    <r>
      <rPr>
        <b/>
        <sz val="10"/>
        <rFont val="Calibri"/>
        <family val="2"/>
        <scheme val="minor"/>
      </rPr>
      <t>Pasiente TB Foun no Rekaida</t>
    </r>
    <r>
      <rPr>
        <sz val="10"/>
        <rFont val="Calibri"/>
        <family val="2"/>
        <scheme val="minor"/>
      </rPr>
      <t xml:space="preserve"> nebe halo teste ba HIV</t>
    </r>
  </si>
  <si>
    <t>Nu. Labarik (&lt;2  anus) kontaktu besik no hetan 3HP</t>
  </si>
  <si>
    <t>Nu. PLHIV mak hetan 3 HP</t>
  </si>
  <si>
    <t>a</t>
  </si>
  <si>
    <t>Periodu rejistrasaun baseia ba data rejistrasaun kazu iha rejistu TB, tuir data tratamentu. Q1: 1 Janeiro – 31 Marco; Q2:1 April – 30 Junho; Q3: 1 Jullho –30 Setembro; Q4:1 Outobro – 31 Dezembro</t>
  </si>
  <si>
    <t>Kazu “Transfere Tama” la inklui</t>
  </si>
  <si>
    <t>Data agregasaun husi rejistu Laboratorio baseia data simu amostra mear tasak , la inklui pasiente ne'ebe halo ezaminasaun follow up.</t>
  </si>
  <si>
    <t>Inklui pasiente TB hotu ne'ebe hatene HIV positivu (ezemplu iha evidencia ne'ebe dokumenta simu ona tratamentu husi HIV hanesan rejistu ona ba tratamentu PRE-ART ou iha ona rejistu ART wainhira hahu ART) ou pasiente ne'ebe ho evidencia HIV negativu iha momentu  diagnoza ba TB.</t>
  </si>
  <si>
    <t>TRIMESSTER</t>
  </si>
  <si>
    <t>AUGOSTU</t>
  </si>
  <si>
    <t>positivu ida hui HNGV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</si>
  <si>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</si>
  <si>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janeiro aumenta 24 TPT</t>
  </si>
  <si>
    <t>dra. MELANIA ANTONIA BARRETO CERQUEIRA, S. Ked.</t>
  </si>
  <si>
    <t>dra. MELANIA A.B. CERQUEIRA, S. Ked.</t>
  </si>
  <si>
    <t>DIRETORA KLINIKA BAIRO PITE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</si>
</sst>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</font>
    <font>
      <b/>
      <i/>
      <sz val="10"/>
      <name val="Times New Roman"/>
      <family val="1"/>
    </font>
    <font>
      <sz val="1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DC3E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8" fillId="0" borderId="0" xfId="0" applyFont="1"/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2" fillId="0" borderId="0" xfId="0" applyFont="1"/>
    <xf numFmtId="0" fontId="11" fillId="0" borderId="0" xfId="0" applyFont="1" applyAlignment="1">
      <alignment horizontal="left" wrapText="1"/>
    </xf>
    <xf numFmtId="0" fontId="3" fillId="0" borderId="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5" fillId="0" borderId="0" xfId="0" applyFont="1" applyBorder="1" applyAlignment="1">
      <alignment vertical="center" wrapText="1"/>
    </xf>
    <xf numFmtId="0" fontId="0" fillId="0" borderId="0" xfId="0" applyProtection="1"/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0" fillId="0" borderId="1" xfId="0" applyBorder="1"/>
    <xf numFmtId="0" fontId="0" fillId="0" borderId="0" xfId="0"/>
    <xf numFmtId="0" fontId="6" fillId="0" borderId="0" xfId="0" applyFont="1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9" fillId="0" borderId="0" xfId="0" applyFont="1"/>
    <xf numFmtId="0" fontId="16" fillId="0" borderId="0" xfId="0" applyFont="1" applyFill="1" applyBorder="1" applyAlignment="1">
      <alignment vertical="top" wrapText="1"/>
    </xf>
    <xf numFmtId="0" fontId="16" fillId="0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Protection="1"/>
    <xf numFmtId="0" fontId="19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5" borderId="0" xfId="0" applyFill="1"/>
    <xf numFmtId="0" fontId="0" fillId="0" borderId="1" xfId="0" applyBorder="1"/>
    <xf numFmtId="0" fontId="0" fillId="3" borderId="0" xfId="0" applyFill="1"/>
    <xf numFmtId="0" fontId="24" fillId="6" borderId="14" xfId="0" applyFont="1" applyFill="1" applyBorder="1" applyAlignment="1">
      <alignment horizontal="center" vertical="center" wrapText="1" readingOrder="1"/>
    </xf>
    <xf numFmtId="0" fontId="21" fillId="0" borderId="0" xfId="0" applyFont="1" applyBorder="1" applyAlignment="1"/>
    <xf numFmtId="0" fontId="7" fillId="0" borderId="0" xfId="0" applyFont="1" applyBorder="1" applyAlignment="1" applyProtection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top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6" fillId="0" borderId="2" xfId="0" applyFont="1" applyFill="1" applyBorder="1" applyAlignment="1">
      <alignment horizontal="center" vertical="top" wrapText="1"/>
    </xf>
    <xf numFmtId="0" fontId="16" fillId="0" borderId="12" xfId="0" applyFont="1" applyFill="1" applyBorder="1" applyAlignment="1">
      <alignment horizontal="center" vertical="top" wrapText="1"/>
    </xf>
    <xf numFmtId="0" fontId="16" fillId="0" borderId="13" xfId="0" applyFont="1" applyFill="1" applyBorder="1" applyAlignment="1">
      <alignment horizontal="center" vertical="top" wrapText="1"/>
    </xf>
    <xf numFmtId="0" fontId="16" fillId="0" borderId="2" xfId="0" applyFont="1" applyFill="1" applyBorder="1" applyAlignment="1">
      <alignment horizontal="left" vertical="top" wrapText="1"/>
    </xf>
    <xf numFmtId="0" fontId="16" fillId="0" borderId="12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18" fillId="0" borderId="0" xfId="0" applyFont="1" applyAlignment="1">
      <alignment horizontal="center"/>
    </xf>
    <xf numFmtId="0" fontId="21" fillId="0" borderId="0" xfId="0" applyFont="1" applyBorder="1" applyAlignment="1">
      <alignment horizontal="center"/>
    </xf>
    <xf numFmtId="0" fontId="7" fillId="0" borderId="0" xfId="0" applyFont="1" applyBorder="1" applyAlignment="1" applyProtection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6" fillId="4" borderId="6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top" wrapText="1"/>
    </xf>
    <xf numFmtId="0" fontId="1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359834</xdr:colOff>
      <xdr:row>2</xdr:row>
      <xdr:rowOff>52918</xdr:rowOff>
    </xdr:from>
    <xdr:to>
      <xdr:col>8</xdr:col>
      <xdr:colOff>317145</xdr:colOff>
      <xdr:row>6</xdr:row>
      <xdr:rowOff>63501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405343"/>
          <a:ext cx="776461" cy="639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0</xdr:row>
      <xdr:rowOff>74083</xdr:rowOff>
    </xdr:from>
    <xdr:to>
      <xdr:col>16</xdr:col>
      <xdr:colOff>338666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644218" y="74083"/>
          <a:ext cx="1314448" cy="37359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2</xdr:row>
      <xdr:rowOff>63501</xdr:rowOff>
    </xdr:from>
    <xdr:to>
      <xdr:col>24</xdr:col>
      <xdr:colOff>369591</xdr:colOff>
      <xdr:row>6</xdr:row>
      <xdr:rowOff>94009</xdr:rowOff>
    </xdr:to>
    <xdr:pic>
      <xdr:nvPicPr>
        <xdr:cNvPr id="4" name="Picture 3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415926"/>
          <a:ext cx="677566" cy="659158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60</xdr:row>
      <xdr:rowOff>52918</xdr:rowOff>
    </xdr:from>
    <xdr:to>
      <xdr:col>8</xdr:col>
      <xdr:colOff>317145</xdr:colOff>
      <xdr:row>64</xdr:row>
      <xdr:rowOff>63500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11692468"/>
          <a:ext cx="776461" cy="6392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58</xdr:row>
      <xdr:rowOff>74083</xdr:rowOff>
    </xdr:from>
    <xdr:to>
      <xdr:col>16</xdr:col>
      <xdr:colOff>338666</xdr:colOff>
      <xdr:row>60</xdr:row>
      <xdr:rowOff>95250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644218" y="11361208"/>
          <a:ext cx="1314448" cy="37359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60</xdr:row>
      <xdr:rowOff>63501</xdr:rowOff>
    </xdr:from>
    <xdr:to>
      <xdr:col>24</xdr:col>
      <xdr:colOff>369591</xdr:colOff>
      <xdr:row>64</xdr:row>
      <xdr:rowOff>94008</xdr:rowOff>
    </xdr:to>
    <xdr:pic>
      <xdr:nvPicPr>
        <xdr:cNvPr id="7" name="Picture 6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11703051"/>
          <a:ext cx="677566" cy="659157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118</xdr:row>
      <xdr:rowOff>52918</xdr:rowOff>
    </xdr:from>
    <xdr:to>
      <xdr:col>8</xdr:col>
      <xdr:colOff>317145</xdr:colOff>
      <xdr:row>122</xdr:row>
      <xdr:rowOff>63502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22979593"/>
          <a:ext cx="776461" cy="639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116</xdr:row>
      <xdr:rowOff>74083</xdr:rowOff>
    </xdr:from>
    <xdr:to>
      <xdr:col>16</xdr:col>
      <xdr:colOff>338666</xdr:colOff>
      <xdr:row>118</xdr:row>
      <xdr:rowOff>95250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644218" y="22648333"/>
          <a:ext cx="1314448" cy="37359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118</xdr:row>
      <xdr:rowOff>63501</xdr:rowOff>
    </xdr:from>
    <xdr:to>
      <xdr:col>24</xdr:col>
      <xdr:colOff>369591</xdr:colOff>
      <xdr:row>122</xdr:row>
      <xdr:rowOff>94010</xdr:rowOff>
    </xdr:to>
    <xdr:pic>
      <xdr:nvPicPr>
        <xdr:cNvPr id="10" name="Picture 9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22990176"/>
          <a:ext cx="677566" cy="659159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176</xdr:row>
      <xdr:rowOff>52918</xdr:rowOff>
    </xdr:from>
    <xdr:to>
      <xdr:col>8</xdr:col>
      <xdr:colOff>317145</xdr:colOff>
      <xdr:row>180</xdr:row>
      <xdr:rowOff>63501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34266718"/>
          <a:ext cx="776461" cy="639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174</xdr:row>
      <xdr:rowOff>74083</xdr:rowOff>
    </xdr:from>
    <xdr:to>
      <xdr:col>16</xdr:col>
      <xdr:colOff>338666</xdr:colOff>
      <xdr:row>176</xdr:row>
      <xdr:rowOff>95250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644218" y="33935458"/>
          <a:ext cx="1314448" cy="37359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176</xdr:row>
      <xdr:rowOff>63501</xdr:rowOff>
    </xdr:from>
    <xdr:to>
      <xdr:col>24</xdr:col>
      <xdr:colOff>369591</xdr:colOff>
      <xdr:row>180</xdr:row>
      <xdr:rowOff>94009</xdr:rowOff>
    </xdr:to>
    <xdr:pic>
      <xdr:nvPicPr>
        <xdr:cNvPr id="13" name="Picture 12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34277301"/>
          <a:ext cx="677566" cy="659158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234</xdr:row>
      <xdr:rowOff>52918</xdr:rowOff>
    </xdr:from>
    <xdr:to>
      <xdr:col>8</xdr:col>
      <xdr:colOff>317145</xdr:colOff>
      <xdr:row>238</xdr:row>
      <xdr:rowOff>63499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45553843"/>
          <a:ext cx="776461" cy="6392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233</xdr:row>
      <xdr:rowOff>95250</xdr:rowOff>
    </xdr:from>
    <xdr:to>
      <xdr:col>16</xdr:col>
      <xdr:colOff>338666</xdr:colOff>
      <xdr:row>234</xdr:row>
      <xdr:rowOff>95251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45767625"/>
          <a:ext cx="1309686" cy="16668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234</xdr:row>
      <xdr:rowOff>63501</xdr:rowOff>
    </xdr:from>
    <xdr:to>
      <xdr:col>24</xdr:col>
      <xdr:colOff>369591</xdr:colOff>
      <xdr:row>238</xdr:row>
      <xdr:rowOff>94007</xdr:rowOff>
    </xdr:to>
    <xdr:pic>
      <xdr:nvPicPr>
        <xdr:cNvPr id="16" name="Picture 15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45564426"/>
          <a:ext cx="677566" cy="659157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292</xdr:row>
      <xdr:rowOff>52918</xdr:rowOff>
    </xdr:from>
    <xdr:to>
      <xdr:col>8</xdr:col>
      <xdr:colOff>317145</xdr:colOff>
      <xdr:row>296</xdr:row>
      <xdr:rowOff>63502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56840968"/>
          <a:ext cx="776461" cy="639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291</xdr:row>
      <xdr:rowOff>119061</xdr:rowOff>
    </xdr:from>
    <xdr:to>
      <xdr:col>16</xdr:col>
      <xdr:colOff>338666</xdr:colOff>
      <xdr:row>292</xdr:row>
      <xdr:rowOff>95248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57149999"/>
          <a:ext cx="1309686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292</xdr:row>
      <xdr:rowOff>63501</xdr:rowOff>
    </xdr:from>
    <xdr:to>
      <xdr:col>24</xdr:col>
      <xdr:colOff>369591</xdr:colOff>
      <xdr:row>296</xdr:row>
      <xdr:rowOff>94010</xdr:rowOff>
    </xdr:to>
    <xdr:pic>
      <xdr:nvPicPr>
        <xdr:cNvPr id="19" name="Picture 18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56851551"/>
          <a:ext cx="677566" cy="659159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350</xdr:row>
      <xdr:rowOff>52918</xdr:rowOff>
    </xdr:from>
    <xdr:to>
      <xdr:col>8</xdr:col>
      <xdr:colOff>317145</xdr:colOff>
      <xdr:row>354</xdr:row>
      <xdr:rowOff>63500</xdr:rowOff>
    </xdr:to>
    <xdr:pic>
      <xdr:nvPicPr>
        <xdr:cNvPr id="20" name="Picture 19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68128093"/>
          <a:ext cx="776461" cy="639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349</xdr:row>
      <xdr:rowOff>47625</xdr:rowOff>
    </xdr:from>
    <xdr:to>
      <xdr:col>16</xdr:col>
      <xdr:colOff>338666</xdr:colOff>
      <xdr:row>350</xdr:row>
      <xdr:rowOff>95252</xdr:rowOff>
    </xdr:to>
    <xdr:pic>
      <xdr:nvPicPr>
        <xdr:cNvPr id="21" name="Picture 20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68437125"/>
          <a:ext cx="1309686" cy="21431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350</xdr:row>
      <xdr:rowOff>63501</xdr:rowOff>
    </xdr:from>
    <xdr:to>
      <xdr:col>24</xdr:col>
      <xdr:colOff>369591</xdr:colOff>
      <xdr:row>354</xdr:row>
      <xdr:rowOff>94008</xdr:rowOff>
    </xdr:to>
    <xdr:pic>
      <xdr:nvPicPr>
        <xdr:cNvPr id="22" name="Picture 21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68138676"/>
          <a:ext cx="677566" cy="659158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408</xdr:row>
      <xdr:rowOff>52918</xdr:rowOff>
    </xdr:from>
    <xdr:to>
      <xdr:col>8</xdr:col>
      <xdr:colOff>317145</xdr:colOff>
      <xdr:row>412</xdr:row>
      <xdr:rowOff>63502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79415218"/>
          <a:ext cx="776461" cy="6392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407</xdr:row>
      <xdr:rowOff>47625</xdr:rowOff>
    </xdr:from>
    <xdr:to>
      <xdr:col>16</xdr:col>
      <xdr:colOff>338666</xdr:colOff>
      <xdr:row>408</xdr:row>
      <xdr:rowOff>95248</xdr:rowOff>
    </xdr:to>
    <xdr:pic>
      <xdr:nvPicPr>
        <xdr:cNvPr id="24" name="Picture 23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79795688"/>
          <a:ext cx="1309686" cy="21431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408</xdr:row>
      <xdr:rowOff>63501</xdr:rowOff>
    </xdr:from>
    <xdr:to>
      <xdr:col>24</xdr:col>
      <xdr:colOff>369591</xdr:colOff>
      <xdr:row>412</xdr:row>
      <xdr:rowOff>94010</xdr:rowOff>
    </xdr:to>
    <xdr:pic>
      <xdr:nvPicPr>
        <xdr:cNvPr id="25" name="Picture 24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79425801"/>
          <a:ext cx="677566" cy="659157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466</xdr:row>
      <xdr:rowOff>52918</xdr:rowOff>
    </xdr:from>
    <xdr:to>
      <xdr:col>8</xdr:col>
      <xdr:colOff>317145</xdr:colOff>
      <xdr:row>470</xdr:row>
      <xdr:rowOff>63500</xdr:rowOff>
    </xdr:to>
    <xdr:pic>
      <xdr:nvPicPr>
        <xdr:cNvPr id="26" name="Picture 25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90702343"/>
          <a:ext cx="776461" cy="639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465</xdr:row>
      <xdr:rowOff>35719</xdr:rowOff>
    </xdr:from>
    <xdr:to>
      <xdr:col>16</xdr:col>
      <xdr:colOff>338666</xdr:colOff>
      <xdr:row>466</xdr:row>
      <xdr:rowOff>95251</xdr:rowOff>
    </xdr:to>
    <xdr:pic>
      <xdr:nvPicPr>
        <xdr:cNvPr id="27" name="Picture 26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91142344"/>
          <a:ext cx="1309686" cy="22621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466</xdr:row>
      <xdr:rowOff>63501</xdr:rowOff>
    </xdr:from>
    <xdr:to>
      <xdr:col>24</xdr:col>
      <xdr:colOff>369591</xdr:colOff>
      <xdr:row>470</xdr:row>
      <xdr:rowOff>94008</xdr:rowOff>
    </xdr:to>
    <xdr:pic>
      <xdr:nvPicPr>
        <xdr:cNvPr id="28" name="Picture 27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90712926"/>
          <a:ext cx="677566" cy="659159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524</xdr:row>
      <xdr:rowOff>52918</xdr:rowOff>
    </xdr:from>
    <xdr:to>
      <xdr:col>8</xdr:col>
      <xdr:colOff>317145</xdr:colOff>
      <xdr:row>528</xdr:row>
      <xdr:rowOff>63501</xdr:rowOff>
    </xdr:to>
    <xdr:pic>
      <xdr:nvPicPr>
        <xdr:cNvPr id="29" name="Picture 28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101989468"/>
          <a:ext cx="776461" cy="639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523</xdr:row>
      <xdr:rowOff>95249</xdr:rowOff>
    </xdr:from>
    <xdr:to>
      <xdr:col>16</xdr:col>
      <xdr:colOff>338666</xdr:colOff>
      <xdr:row>524</xdr:row>
      <xdr:rowOff>95248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102560437"/>
          <a:ext cx="1309686" cy="16668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524</xdr:row>
      <xdr:rowOff>63501</xdr:rowOff>
    </xdr:from>
    <xdr:to>
      <xdr:col>24</xdr:col>
      <xdr:colOff>369591</xdr:colOff>
      <xdr:row>528</xdr:row>
      <xdr:rowOff>94009</xdr:rowOff>
    </xdr:to>
    <xdr:pic>
      <xdr:nvPicPr>
        <xdr:cNvPr id="31" name="Picture 30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102000051"/>
          <a:ext cx="677566" cy="659158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582</xdr:row>
      <xdr:rowOff>52918</xdr:rowOff>
    </xdr:from>
    <xdr:to>
      <xdr:col>8</xdr:col>
      <xdr:colOff>317145</xdr:colOff>
      <xdr:row>586</xdr:row>
      <xdr:rowOff>63498</xdr:rowOff>
    </xdr:to>
    <xdr:pic>
      <xdr:nvPicPr>
        <xdr:cNvPr id="32" name="Picture 31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113276593"/>
          <a:ext cx="776461" cy="6392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580</xdr:row>
      <xdr:rowOff>74083</xdr:rowOff>
    </xdr:from>
    <xdr:to>
      <xdr:col>16</xdr:col>
      <xdr:colOff>338666</xdr:colOff>
      <xdr:row>582</xdr:row>
      <xdr:rowOff>95252</xdr:rowOff>
    </xdr:to>
    <xdr:pic>
      <xdr:nvPicPr>
        <xdr:cNvPr id="33" name="Picture 32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644218" y="112945333"/>
          <a:ext cx="1314448" cy="37359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582</xdr:row>
      <xdr:rowOff>63501</xdr:rowOff>
    </xdr:from>
    <xdr:to>
      <xdr:col>24</xdr:col>
      <xdr:colOff>369591</xdr:colOff>
      <xdr:row>586</xdr:row>
      <xdr:rowOff>94006</xdr:rowOff>
    </xdr:to>
    <xdr:pic>
      <xdr:nvPicPr>
        <xdr:cNvPr id="34" name="Picture 33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113287176"/>
          <a:ext cx="677566" cy="659157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640</xdr:row>
      <xdr:rowOff>52918</xdr:rowOff>
    </xdr:from>
    <xdr:to>
      <xdr:col>8</xdr:col>
      <xdr:colOff>317145</xdr:colOff>
      <xdr:row>644</xdr:row>
      <xdr:rowOff>63503</xdr:rowOff>
    </xdr:to>
    <xdr:pic>
      <xdr:nvPicPr>
        <xdr:cNvPr id="35" name="Picture 34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124563718"/>
          <a:ext cx="776461" cy="639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638</xdr:row>
      <xdr:rowOff>74083</xdr:rowOff>
    </xdr:from>
    <xdr:to>
      <xdr:col>16</xdr:col>
      <xdr:colOff>338666</xdr:colOff>
      <xdr:row>640</xdr:row>
      <xdr:rowOff>95250</xdr:rowOff>
    </xdr:to>
    <xdr:pic>
      <xdr:nvPicPr>
        <xdr:cNvPr id="36" name="Picture 35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644218" y="124232458"/>
          <a:ext cx="1314448" cy="37359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640</xdr:row>
      <xdr:rowOff>63501</xdr:rowOff>
    </xdr:from>
    <xdr:to>
      <xdr:col>24</xdr:col>
      <xdr:colOff>369591</xdr:colOff>
      <xdr:row>644</xdr:row>
      <xdr:rowOff>94011</xdr:rowOff>
    </xdr:to>
    <xdr:pic>
      <xdr:nvPicPr>
        <xdr:cNvPr id="37" name="Picture 36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124574301"/>
          <a:ext cx="677566" cy="659159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698</xdr:row>
      <xdr:rowOff>52918</xdr:rowOff>
    </xdr:from>
    <xdr:to>
      <xdr:col>8</xdr:col>
      <xdr:colOff>317145</xdr:colOff>
      <xdr:row>702</xdr:row>
      <xdr:rowOff>63501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135850843"/>
          <a:ext cx="776461" cy="639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697</xdr:row>
      <xdr:rowOff>59531</xdr:rowOff>
    </xdr:from>
    <xdr:to>
      <xdr:col>16</xdr:col>
      <xdr:colOff>338666</xdr:colOff>
      <xdr:row>698</xdr:row>
      <xdr:rowOff>95251</xdr:rowOff>
    </xdr:to>
    <xdr:pic>
      <xdr:nvPicPr>
        <xdr:cNvPr id="39" name="Picture 38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136552781"/>
          <a:ext cx="1309686" cy="202407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698</xdr:row>
      <xdr:rowOff>63501</xdr:rowOff>
    </xdr:from>
    <xdr:to>
      <xdr:col>24</xdr:col>
      <xdr:colOff>369591</xdr:colOff>
      <xdr:row>702</xdr:row>
      <xdr:rowOff>94009</xdr:rowOff>
    </xdr:to>
    <xdr:pic>
      <xdr:nvPicPr>
        <xdr:cNvPr id="40" name="Picture 39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135861426"/>
          <a:ext cx="677566" cy="659158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756</xdr:row>
      <xdr:rowOff>52918</xdr:rowOff>
    </xdr:from>
    <xdr:to>
      <xdr:col>8</xdr:col>
      <xdr:colOff>317145</xdr:colOff>
      <xdr:row>760</xdr:row>
      <xdr:rowOff>63502</xdr:rowOff>
    </xdr:to>
    <xdr:pic>
      <xdr:nvPicPr>
        <xdr:cNvPr id="41" name="Picture 40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147137968"/>
          <a:ext cx="776461" cy="6392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755</xdr:row>
      <xdr:rowOff>11905</xdr:rowOff>
    </xdr:from>
    <xdr:to>
      <xdr:col>16</xdr:col>
      <xdr:colOff>338666</xdr:colOff>
      <xdr:row>756</xdr:row>
      <xdr:rowOff>95247</xdr:rowOff>
    </xdr:to>
    <xdr:pic>
      <xdr:nvPicPr>
        <xdr:cNvPr id="42" name="Picture 41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147863718"/>
          <a:ext cx="1309686" cy="25003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756</xdr:row>
      <xdr:rowOff>63501</xdr:rowOff>
    </xdr:from>
    <xdr:to>
      <xdr:col>24</xdr:col>
      <xdr:colOff>369591</xdr:colOff>
      <xdr:row>760</xdr:row>
      <xdr:rowOff>94010</xdr:rowOff>
    </xdr:to>
    <xdr:pic>
      <xdr:nvPicPr>
        <xdr:cNvPr id="43" name="Picture 42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147148551"/>
          <a:ext cx="677566" cy="659157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814</xdr:row>
      <xdr:rowOff>52918</xdr:rowOff>
    </xdr:from>
    <xdr:to>
      <xdr:col>8</xdr:col>
      <xdr:colOff>317145</xdr:colOff>
      <xdr:row>818</xdr:row>
      <xdr:rowOff>63502</xdr:rowOff>
    </xdr:to>
    <xdr:pic>
      <xdr:nvPicPr>
        <xdr:cNvPr id="44" name="Picture 43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158425093"/>
          <a:ext cx="776461" cy="6392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813</xdr:row>
      <xdr:rowOff>35719</xdr:rowOff>
    </xdr:from>
    <xdr:to>
      <xdr:col>16</xdr:col>
      <xdr:colOff>338666</xdr:colOff>
      <xdr:row>814</xdr:row>
      <xdr:rowOff>95250</xdr:rowOff>
    </xdr:to>
    <xdr:pic>
      <xdr:nvPicPr>
        <xdr:cNvPr id="45" name="Picture 44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159246094"/>
          <a:ext cx="1309686" cy="22621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814</xdr:row>
      <xdr:rowOff>63501</xdr:rowOff>
    </xdr:from>
    <xdr:to>
      <xdr:col>24</xdr:col>
      <xdr:colOff>369591</xdr:colOff>
      <xdr:row>818</xdr:row>
      <xdr:rowOff>94010</xdr:rowOff>
    </xdr:to>
    <xdr:pic>
      <xdr:nvPicPr>
        <xdr:cNvPr id="46" name="Picture 45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158435676"/>
          <a:ext cx="677566" cy="659159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872</xdr:row>
      <xdr:rowOff>52918</xdr:rowOff>
    </xdr:from>
    <xdr:to>
      <xdr:col>8</xdr:col>
      <xdr:colOff>317145</xdr:colOff>
      <xdr:row>876</xdr:row>
      <xdr:rowOff>63501</xdr:rowOff>
    </xdr:to>
    <xdr:pic>
      <xdr:nvPicPr>
        <xdr:cNvPr id="47" name="Picture 46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169712218"/>
          <a:ext cx="776461" cy="639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871</xdr:row>
      <xdr:rowOff>23811</xdr:rowOff>
    </xdr:from>
    <xdr:to>
      <xdr:col>16</xdr:col>
      <xdr:colOff>338666</xdr:colOff>
      <xdr:row>872</xdr:row>
      <xdr:rowOff>95248</xdr:rowOff>
    </xdr:to>
    <xdr:pic>
      <xdr:nvPicPr>
        <xdr:cNvPr id="48" name="Picture 47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170592749"/>
          <a:ext cx="1309686" cy="238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872</xdr:row>
      <xdr:rowOff>63501</xdr:rowOff>
    </xdr:from>
    <xdr:to>
      <xdr:col>24</xdr:col>
      <xdr:colOff>369591</xdr:colOff>
      <xdr:row>876</xdr:row>
      <xdr:rowOff>94009</xdr:rowOff>
    </xdr:to>
    <xdr:pic>
      <xdr:nvPicPr>
        <xdr:cNvPr id="49" name="Picture 48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169722801"/>
          <a:ext cx="677566" cy="659158"/>
        </a:xfrm>
        <a:prstGeom prst="rect">
          <a:avLst/>
        </a:prstGeom>
      </xdr:spPr>
    </xdr:pic>
    <xdr:clientData/>
  </xdr:twoCellAnchor>
  <xdr:twoCellAnchor editAs="oneCell">
    <xdr:from>
      <xdr:col>6</xdr:col>
      <xdr:colOff>359834</xdr:colOff>
      <xdr:row>930</xdr:row>
      <xdr:rowOff>52918</xdr:rowOff>
    </xdr:from>
    <xdr:to>
      <xdr:col>8</xdr:col>
      <xdr:colOff>317145</xdr:colOff>
      <xdr:row>934</xdr:row>
      <xdr:rowOff>63498</xdr:rowOff>
    </xdr:to>
    <xdr:pic>
      <xdr:nvPicPr>
        <xdr:cNvPr id="50" name="Picture 49">
          <a:extLst>
            <a:ext uri="{FF2B5EF4-FFF2-40B4-BE49-F238E27FC236}">
              <a16:creationId xmlns="" xmlns:a16="http://schemas.microsoft.com/office/drawing/2014/main" id="{7BAA2BAD-0715-4486-9C18-417FE091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7284" y="180999343"/>
          <a:ext cx="776461" cy="6392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148168</xdr:colOff>
      <xdr:row>929</xdr:row>
      <xdr:rowOff>47625</xdr:rowOff>
    </xdr:from>
    <xdr:to>
      <xdr:col>16</xdr:col>
      <xdr:colOff>338666</xdr:colOff>
      <xdr:row>930</xdr:row>
      <xdr:rowOff>95251</xdr:rowOff>
    </xdr:to>
    <xdr:pic>
      <xdr:nvPicPr>
        <xdr:cNvPr id="51" name="Picture 50">
          <a:extLst>
            <a:ext uri="{FF2B5EF4-FFF2-40B4-BE49-F238E27FC236}">
              <a16:creationId xmlns="" xmlns:a16="http://schemas.microsoft.com/office/drawing/2014/main" id="{886E1905-712B-43DC-AEBE-70E531AB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7525" t="7681" r="27745" b="13281"/>
        <a:stretch>
          <a:fillRect/>
        </a:stretch>
      </xdr:blipFill>
      <xdr:spPr bwMode="auto">
        <a:xfrm>
          <a:off x="6589449" y="181975125"/>
          <a:ext cx="1309686" cy="214313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254000</xdr:colOff>
      <xdr:row>930</xdr:row>
      <xdr:rowOff>63501</xdr:rowOff>
    </xdr:from>
    <xdr:to>
      <xdr:col>24</xdr:col>
      <xdr:colOff>369591</xdr:colOff>
      <xdr:row>934</xdr:row>
      <xdr:rowOff>94006</xdr:rowOff>
    </xdr:to>
    <xdr:pic>
      <xdr:nvPicPr>
        <xdr:cNvPr id="52" name="Picture 51" descr="A close up of a sign&#10;&#10;Description generated with high confidence">
          <a:extLst>
            <a:ext uri="{FF2B5EF4-FFF2-40B4-BE49-F238E27FC236}">
              <a16:creationId xmlns="" xmlns:a16="http://schemas.microsoft.com/office/drawing/2014/main" id="{9BDA0F30-C5E2-4AEB-8277-7D772295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07825" y="181009926"/>
          <a:ext cx="677566" cy="659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CD986"/>
  <sheetViews>
    <sheetView tabSelected="1" topLeftCell="A193" zoomScale="80" zoomScaleNormal="80" workbookViewId="0">
      <selection activeCell="AA205" sqref="AA205:AA209"/>
    </sheetView>
  </sheetViews>
  <sheetFormatPr defaultColWidth="9.140625" defaultRowHeight="15" x14ac:dyDescent="0.25"/>
  <cols>
    <col min="1" max="9" width="6.140625" style="15" customWidth="1"/>
    <col min="10" max="27" width="8.42578125" style="15" customWidth="1"/>
    <col min="28" max="29" width="6.140625" style="15" customWidth="1"/>
    <col min="30" max="122" width="5.7109375" style="15" customWidth="1"/>
    <col min="123" max="16384" width="9.140625" style="15"/>
  </cols>
  <sheetData>
    <row r="2" spans="1:29" ht="12.75" customHeight="1" x14ac:dyDescent="0.25"/>
    <row r="3" spans="1:29" ht="12.75" customHeight="1" x14ac:dyDescent="0.25"/>
    <row r="4" spans="1:29" ht="12.75" customHeight="1" x14ac:dyDescent="0.25">
      <c r="A4" s="34" t="s">
        <v>41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 spans="1:29" ht="12" customHeight="1" x14ac:dyDescent="0.25">
      <c r="A5" s="35" t="s">
        <v>30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 spans="1:29" ht="12" customHeight="1" x14ac:dyDescent="0.25">
      <c r="A6" s="35" t="s">
        <v>46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 spans="1:29" ht="12" customHeight="1" x14ac:dyDescent="0.25">
      <c r="A7" s="36" t="s">
        <v>62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29" ht="12" customHeight="1" x14ac:dyDescent="0.25">
      <c r="A8" s="1"/>
      <c r="B8" s="6"/>
      <c r="C8" s="6"/>
      <c r="D8" s="6"/>
      <c r="E8" s="6"/>
      <c r="F8" s="6"/>
      <c r="G8" s="6"/>
      <c r="H8" s="6"/>
      <c r="I8" s="6"/>
      <c r="J8" s="6"/>
      <c r="K8" s="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" customHeight="1" x14ac:dyDescent="0.25">
      <c r="A9" s="37" t="s">
        <v>63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6" customHeight="1" x14ac:dyDescent="0.25"/>
    <row r="11" spans="1:29" ht="12.75" customHeight="1" x14ac:dyDescent="0.25">
      <c r="A11" s="38" t="s">
        <v>64</v>
      </c>
      <c r="B11" s="39"/>
      <c r="C11" s="39"/>
      <c r="D11" s="39"/>
      <c r="E11" s="39"/>
      <c r="F11" s="39"/>
      <c r="G11" s="39"/>
      <c r="H11" s="40"/>
      <c r="I11" s="38" t="s">
        <v>65</v>
      </c>
      <c r="J11" s="39"/>
      <c r="K11" s="39"/>
      <c r="L11" s="39"/>
      <c r="M11" s="39"/>
      <c r="N11" s="39"/>
      <c r="O11" s="39"/>
      <c r="P11" s="39"/>
      <c r="Q11" s="40"/>
      <c r="R11" s="38" t="s">
        <v>18</v>
      </c>
      <c r="S11" s="39"/>
      <c r="T11" s="39"/>
      <c r="U11" s="40"/>
      <c r="V11" s="41" t="s">
        <v>66</v>
      </c>
      <c r="W11" s="42"/>
      <c r="X11" s="42"/>
      <c r="Y11" s="42"/>
      <c r="Z11" s="42"/>
      <c r="AA11" s="42"/>
      <c r="AB11" s="42"/>
      <c r="AC11" s="43"/>
    </row>
    <row r="12" spans="1:29" ht="12.75" customHeight="1" x14ac:dyDescent="0.25">
      <c r="A12" s="47" t="s">
        <v>40</v>
      </c>
      <c r="B12" s="48"/>
      <c r="C12" s="48"/>
      <c r="D12" s="48"/>
      <c r="E12" s="48"/>
      <c r="F12" s="48"/>
      <c r="G12" s="48"/>
      <c r="H12" s="49"/>
      <c r="I12" s="47" t="s">
        <v>61</v>
      </c>
      <c r="J12" s="48"/>
      <c r="K12" s="48"/>
      <c r="L12" s="48"/>
      <c r="M12" s="48"/>
      <c r="N12" s="48"/>
      <c r="O12" s="48"/>
      <c r="P12" s="48"/>
      <c r="Q12" s="49"/>
      <c r="R12" s="58">
        <v>2025</v>
      </c>
      <c r="S12" s="59"/>
      <c r="T12" s="59"/>
      <c r="U12" s="60"/>
      <c r="V12" s="44"/>
      <c r="W12" s="45"/>
      <c r="X12" s="45"/>
      <c r="Y12" s="45"/>
      <c r="Z12" s="45"/>
      <c r="AA12" s="45"/>
      <c r="AB12" s="45"/>
      <c r="AC12" s="46"/>
    </row>
    <row r="13" spans="1:29" ht="12.75" customHeight="1" x14ac:dyDescent="0.25">
      <c r="A13" s="61" t="s">
        <v>67</v>
      </c>
      <c r="B13" s="62"/>
      <c r="C13" s="62"/>
      <c r="D13" s="62"/>
      <c r="E13" s="62"/>
      <c r="F13" s="62"/>
      <c r="G13" s="62"/>
      <c r="H13" s="63"/>
      <c r="I13" s="38" t="s">
        <v>68</v>
      </c>
      <c r="J13" s="39"/>
      <c r="K13" s="39"/>
      <c r="L13" s="39"/>
      <c r="M13" s="39"/>
      <c r="N13" s="39"/>
      <c r="O13" s="39"/>
      <c r="P13" s="39"/>
      <c r="Q13" s="40"/>
      <c r="R13" s="64" t="s">
        <v>47</v>
      </c>
      <c r="S13" s="39"/>
      <c r="T13" s="39"/>
      <c r="U13" s="40"/>
      <c r="V13" s="65"/>
      <c r="W13" s="66"/>
      <c r="X13" s="66"/>
      <c r="Y13" s="66"/>
      <c r="Z13" s="66"/>
      <c r="AA13" s="66"/>
      <c r="AB13" s="66"/>
      <c r="AC13" s="67"/>
    </row>
    <row r="14" spans="1:29" ht="12.75" customHeight="1" x14ac:dyDescent="0.25">
      <c r="A14" s="71" t="s">
        <v>61</v>
      </c>
      <c r="B14" s="72"/>
      <c r="C14" s="72"/>
      <c r="D14" s="72"/>
      <c r="E14" s="72"/>
      <c r="F14" s="72"/>
      <c r="G14" s="72"/>
      <c r="H14" s="73"/>
      <c r="I14" s="77" t="s">
        <v>60</v>
      </c>
      <c r="J14" s="78"/>
      <c r="K14" s="78"/>
      <c r="L14" s="78"/>
      <c r="M14" s="78"/>
      <c r="N14" s="78"/>
      <c r="O14" s="78"/>
      <c r="P14" s="78"/>
      <c r="Q14" s="79"/>
      <c r="R14" s="83" t="s">
        <v>48</v>
      </c>
      <c r="S14" s="84"/>
      <c r="T14" s="84"/>
      <c r="U14" s="85"/>
      <c r="V14" s="65"/>
      <c r="W14" s="66"/>
      <c r="X14" s="66"/>
      <c r="Y14" s="66"/>
      <c r="Z14" s="66"/>
      <c r="AA14" s="66"/>
      <c r="AB14" s="66"/>
      <c r="AC14" s="67"/>
    </row>
    <row r="15" spans="1:29" ht="6.75" customHeight="1" x14ac:dyDescent="0.25">
      <c r="A15" s="74"/>
      <c r="B15" s="75"/>
      <c r="C15" s="75"/>
      <c r="D15" s="75"/>
      <c r="E15" s="75"/>
      <c r="F15" s="75"/>
      <c r="G15" s="75"/>
      <c r="H15" s="76"/>
      <c r="I15" s="80"/>
      <c r="J15" s="81"/>
      <c r="K15" s="81"/>
      <c r="L15" s="81"/>
      <c r="M15" s="81"/>
      <c r="N15" s="81"/>
      <c r="O15" s="81"/>
      <c r="P15" s="81"/>
      <c r="Q15" s="82"/>
      <c r="R15" s="86"/>
      <c r="S15" s="87"/>
      <c r="T15" s="87"/>
      <c r="U15" s="88"/>
      <c r="V15" s="68"/>
      <c r="W15" s="69"/>
      <c r="X15" s="69"/>
      <c r="Y15" s="69"/>
      <c r="Z15" s="69"/>
      <c r="AA15" s="69"/>
      <c r="AB15" s="69"/>
      <c r="AC15" s="70"/>
    </row>
    <row r="16" spans="1:29" ht="10.5" customHeight="1" x14ac:dyDescent="0.25"/>
    <row r="17" spans="1:29" ht="12" customHeight="1" x14ac:dyDescent="0.25">
      <c r="A17" s="4" t="s">
        <v>31</v>
      </c>
    </row>
    <row r="18" spans="1:29" ht="12.75" customHeight="1" x14ac:dyDescent="0.25">
      <c r="L18" s="50" t="s">
        <v>15</v>
      </c>
      <c r="M18" s="50"/>
      <c r="N18" s="50"/>
      <c r="O18" s="51" t="s">
        <v>16</v>
      </c>
      <c r="P18" s="51"/>
      <c r="Q18" s="51"/>
      <c r="R18" s="50" t="s">
        <v>32</v>
      </c>
      <c r="S18" s="50"/>
      <c r="T18" s="50"/>
      <c r="U18" s="52"/>
      <c r="V18" s="51" t="s">
        <v>33</v>
      </c>
      <c r="W18" s="51"/>
      <c r="X18" s="51"/>
      <c r="Y18" s="51"/>
      <c r="Z18" s="51"/>
      <c r="AA18" s="51" t="s">
        <v>0</v>
      </c>
      <c r="AB18" s="51"/>
      <c r="AC18" s="51"/>
    </row>
    <row r="19" spans="1:29" ht="12.75" customHeight="1" x14ac:dyDescent="0.25">
      <c r="L19" s="50"/>
      <c r="M19" s="50"/>
      <c r="N19" s="50"/>
      <c r="O19" s="51"/>
      <c r="P19" s="51"/>
      <c r="Q19" s="51"/>
      <c r="R19" s="50"/>
      <c r="S19" s="50"/>
      <c r="T19" s="50"/>
      <c r="U19" s="52"/>
      <c r="V19" s="51"/>
      <c r="W19" s="51"/>
      <c r="X19" s="51"/>
      <c r="Y19" s="51"/>
      <c r="Z19" s="51"/>
      <c r="AA19" s="51"/>
      <c r="AB19" s="51"/>
      <c r="AC19" s="51"/>
    </row>
    <row r="20" spans="1:29" ht="20.25" customHeight="1" x14ac:dyDescent="0.3">
      <c r="A20" s="53" t="s">
        <v>69</v>
      </c>
      <c r="B20" s="54"/>
      <c r="C20" s="54"/>
      <c r="D20" s="54"/>
      <c r="E20" s="54"/>
      <c r="F20" s="54"/>
      <c r="G20" s="54"/>
      <c r="H20" s="54"/>
      <c r="I20" s="54"/>
      <c r="J20" s="54"/>
      <c r="K20" s="55"/>
      <c r="L20" s="56">
        <v>26</v>
      </c>
      <c r="M20" s="56"/>
      <c r="N20" s="56"/>
      <c r="O20" s="56">
        <v>2</v>
      </c>
      <c r="P20" s="56"/>
      <c r="Q20" s="56"/>
      <c r="R20" s="56">
        <v>0</v>
      </c>
      <c r="S20" s="56"/>
      <c r="T20" s="56"/>
      <c r="U20" s="57"/>
      <c r="V20" s="56">
        <v>0</v>
      </c>
      <c r="W20" s="56"/>
      <c r="X20" s="56"/>
      <c r="Y20" s="56"/>
      <c r="Z20" s="56"/>
      <c r="AA20" s="89">
        <f>V20+R20+O20+L20</f>
        <v>28</v>
      </c>
      <c r="AB20" s="89"/>
      <c r="AC20" s="89"/>
    </row>
    <row r="21" spans="1:29" ht="20.25" customHeight="1" x14ac:dyDescent="0.3">
      <c r="A21" s="53" t="s">
        <v>34</v>
      </c>
      <c r="B21" s="54"/>
      <c r="C21" s="54"/>
      <c r="D21" s="54"/>
      <c r="E21" s="54"/>
      <c r="F21" s="54"/>
      <c r="G21" s="54"/>
      <c r="H21" s="54"/>
      <c r="I21" s="54"/>
      <c r="J21" s="54"/>
      <c r="K21" s="55"/>
      <c r="L21" s="56">
        <v>14</v>
      </c>
      <c r="M21" s="56"/>
      <c r="N21" s="56"/>
      <c r="O21" s="56">
        <v>0</v>
      </c>
      <c r="P21" s="56"/>
      <c r="Q21" s="56"/>
      <c r="R21" s="56">
        <v>0</v>
      </c>
      <c r="S21" s="56"/>
      <c r="T21" s="56"/>
      <c r="U21" s="57"/>
      <c r="V21" s="56">
        <v>5</v>
      </c>
      <c r="W21" s="56"/>
      <c r="X21" s="56"/>
      <c r="Y21" s="56"/>
      <c r="Z21" s="56"/>
      <c r="AA21" s="89">
        <f>V21+R21+O21+L21</f>
        <v>19</v>
      </c>
      <c r="AB21" s="89"/>
      <c r="AC21" s="89"/>
    </row>
    <row r="22" spans="1:29" ht="20.25" customHeight="1" x14ac:dyDescent="0.3">
      <c r="A22" s="53" t="s">
        <v>70</v>
      </c>
      <c r="B22" s="54"/>
      <c r="C22" s="54"/>
      <c r="D22" s="54"/>
      <c r="E22" s="54"/>
      <c r="F22" s="54"/>
      <c r="G22" s="54"/>
      <c r="H22" s="54"/>
      <c r="I22" s="54"/>
      <c r="J22" s="54"/>
      <c r="K22" s="55"/>
      <c r="L22" s="56">
        <v>0</v>
      </c>
      <c r="M22" s="56"/>
      <c r="N22" s="56"/>
      <c r="O22" s="56">
        <v>0</v>
      </c>
      <c r="P22" s="56"/>
      <c r="Q22" s="56"/>
      <c r="R22" s="56">
        <v>0</v>
      </c>
      <c r="S22" s="56"/>
      <c r="T22" s="56"/>
      <c r="U22" s="57"/>
      <c r="V22" s="56">
        <v>0</v>
      </c>
      <c r="W22" s="56"/>
      <c r="X22" s="56"/>
      <c r="Y22" s="56"/>
      <c r="Z22" s="56"/>
      <c r="AA22" s="89">
        <f>V22+R22+O22+L22</f>
        <v>0</v>
      </c>
      <c r="AB22" s="89"/>
      <c r="AC22" s="89"/>
    </row>
    <row r="23" spans="1:29" ht="21" customHeight="1" x14ac:dyDescent="0.3">
      <c r="A23" s="53" t="s">
        <v>35</v>
      </c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6">
        <v>3</v>
      </c>
      <c r="M23" s="56"/>
      <c r="N23" s="56"/>
      <c r="O23" s="56">
        <v>0</v>
      </c>
      <c r="P23" s="56"/>
      <c r="Q23" s="56"/>
      <c r="R23" s="56">
        <v>0</v>
      </c>
      <c r="S23" s="56"/>
      <c r="T23" s="56"/>
      <c r="U23" s="57"/>
      <c r="V23" s="56">
        <v>0</v>
      </c>
      <c r="W23" s="56"/>
      <c r="X23" s="56"/>
      <c r="Y23" s="56"/>
      <c r="Z23" s="56"/>
      <c r="AA23" s="89">
        <f>V23+R23+O23+L23</f>
        <v>3</v>
      </c>
      <c r="AB23" s="89"/>
      <c r="AC23" s="89"/>
    </row>
    <row r="24" spans="1:29" ht="4.5" customHeight="1" x14ac:dyDescent="0.25"/>
    <row r="25" spans="1:29" ht="12.75" customHeight="1" x14ac:dyDescent="0.25">
      <c r="A25" s="95" t="s">
        <v>36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</row>
    <row r="26" spans="1:29" ht="12.75" customHeight="1" x14ac:dyDescent="0.25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</row>
    <row r="27" spans="1:29" ht="0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7.25" customHeight="1" x14ac:dyDescent="0.25">
      <c r="J28" s="96" t="s">
        <v>9</v>
      </c>
      <c r="K28" s="97"/>
      <c r="L28" s="98" t="s">
        <v>10</v>
      </c>
      <c r="M28" s="94"/>
      <c r="N28" s="94" t="s">
        <v>3</v>
      </c>
      <c r="O28" s="94"/>
      <c r="P28" s="94" t="s">
        <v>4</v>
      </c>
      <c r="Q28" s="94"/>
      <c r="R28" s="94" t="s">
        <v>5</v>
      </c>
      <c r="S28" s="94"/>
      <c r="T28" s="94" t="s">
        <v>6</v>
      </c>
      <c r="U28" s="94"/>
      <c r="V28" s="94" t="s">
        <v>7</v>
      </c>
      <c r="W28" s="94"/>
      <c r="X28" s="94" t="s">
        <v>11</v>
      </c>
      <c r="Y28" s="94"/>
      <c r="Z28" s="99" t="s">
        <v>49</v>
      </c>
      <c r="AA28" s="99"/>
      <c r="AB28" s="94" t="s">
        <v>0</v>
      </c>
      <c r="AC28" s="94"/>
    </row>
    <row r="29" spans="1:29" ht="17.25" customHeight="1" x14ac:dyDescent="0.25">
      <c r="J29" s="2" t="s">
        <v>1</v>
      </c>
      <c r="K29" s="2" t="s">
        <v>2</v>
      </c>
      <c r="L29" s="2" t="s">
        <v>1</v>
      </c>
      <c r="M29" s="2" t="s">
        <v>2</v>
      </c>
      <c r="N29" s="2" t="s">
        <v>1</v>
      </c>
      <c r="O29" s="2" t="s">
        <v>2</v>
      </c>
      <c r="P29" s="2" t="s">
        <v>1</v>
      </c>
      <c r="Q29" s="2" t="s">
        <v>2</v>
      </c>
      <c r="R29" s="2" t="s">
        <v>1</v>
      </c>
      <c r="S29" s="2" t="s">
        <v>2</v>
      </c>
      <c r="T29" s="2" t="s">
        <v>1</v>
      </c>
      <c r="U29" s="2" t="s">
        <v>2</v>
      </c>
      <c r="V29" s="2" t="s">
        <v>1</v>
      </c>
      <c r="W29" s="2" t="s">
        <v>2</v>
      </c>
      <c r="X29" s="2" t="s">
        <v>1</v>
      </c>
      <c r="Y29" s="2" t="s">
        <v>2</v>
      </c>
      <c r="Z29" s="17" t="s">
        <v>1</v>
      </c>
      <c r="AA29" s="17" t="s">
        <v>2</v>
      </c>
      <c r="AB29" s="94"/>
      <c r="AC29" s="94"/>
    </row>
    <row r="30" spans="1:29" ht="18.75" customHeight="1" x14ac:dyDescent="0.25">
      <c r="A30" s="90" t="s">
        <v>71</v>
      </c>
      <c r="B30" s="91"/>
      <c r="C30" s="91"/>
      <c r="D30" s="91"/>
      <c r="E30" s="91"/>
      <c r="F30" s="91"/>
      <c r="G30" s="91"/>
      <c r="H30" s="91"/>
      <c r="I30" s="92"/>
      <c r="J30" s="14">
        <v>0</v>
      </c>
      <c r="K30" s="14">
        <v>0</v>
      </c>
      <c r="L30" s="14">
        <v>0</v>
      </c>
      <c r="M30" s="14">
        <v>0</v>
      </c>
      <c r="N30" s="14">
        <v>3</v>
      </c>
      <c r="O30" s="14">
        <v>3</v>
      </c>
      <c r="P30" s="14">
        <v>3</v>
      </c>
      <c r="Q30" s="14">
        <v>1</v>
      </c>
      <c r="R30" s="14">
        <v>5</v>
      </c>
      <c r="S30" s="14">
        <v>3</v>
      </c>
      <c r="T30" s="14">
        <v>1</v>
      </c>
      <c r="U30" s="14">
        <v>1</v>
      </c>
      <c r="V30" s="14">
        <v>3</v>
      </c>
      <c r="W30" s="14">
        <v>1</v>
      </c>
      <c r="X30" s="14">
        <v>3</v>
      </c>
      <c r="Y30" s="14">
        <v>1</v>
      </c>
      <c r="Z30" s="18">
        <f>X30+V30+T30+R30+P30+N30+L30+J30</f>
        <v>18</v>
      </c>
      <c r="AA30" s="18">
        <f>Y30+W30+U30+S30+Q30+O30+M30+K30</f>
        <v>10</v>
      </c>
      <c r="AB30" s="93">
        <f t="shared" ref="AB30:AB35" si="0">AA30+Z30</f>
        <v>28</v>
      </c>
      <c r="AC30" s="93"/>
    </row>
    <row r="31" spans="1:29" ht="18.75" customHeight="1" x14ac:dyDescent="0.25">
      <c r="A31" s="53" t="s">
        <v>37</v>
      </c>
      <c r="B31" s="54"/>
      <c r="C31" s="54"/>
      <c r="D31" s="54"/>
      <c r="E31" s="54"/>
      <c r="F31" s="54"/>
      <c r="G31" s="54"/>
      <c r="H31" s="54"/>
      <c r="I31" s="55"/>
      <c r="J31" s="29">
        <v>0</v>
      </c>
      <c r="K31" s="29">
        <v>0</v>
      </c>
      <c r="L31" s="29">
        <v>0</v>
      </c>
      <c r="M31" s="29">
        <v>1</v>
      </c>
      <c r="N31" s="29">
        <v>0</v>
      </c>
      <c r="O31" s="29">
        <v>0</v>
      </c>
      <c r="P31" s="29">
        <v>3</v>
      </c>
      <c r="Q31" s="29">
        <v>1</v>
      </c>
      <c r="R31" s="29">
        <v>1</v>
      </c>
      <c r="S31" s="29">
        <v>0</v>
      </c>
      <c r="T31" s="29">
        <v>0</v>
      </c>
      <c r="U31" s="29">
        <v>0</v>
      </c>
      <c r="V31" s="29">
        <v>0</v>
      </c>
      <c r="W31" s="29">
        <v>2</v>
      </c>
      <c r="X31" s="29">
        <v>3</v>
      </c>
      <c r="Y31" s="29">
        <v>3</v>
      </c>
      <c r="Z31" s="18">
        <f t="shared" ref="Z31:AA35" si="1">X31+V31+T31+R31+P31+N31+L31+J31</f>
        <v>7</v>
      </c>
      <c r="AA31" s="18">
        <f t="shared" si="1"/>
        <v>7</v>
      </c>
      <c r="AB31" s="93">
        <f t="shared" si="0"/>
        <v>14</v>
      </c>
      <c r="AC31" s="93"/>
    </row>
    <row r="32" spans="1:29" ht="24" customHeight="1" x14ac:dyDescent="0.25">
      <c r="A32" s="90" t="s">
        <v>72</v>
      </c>
      <c r="B32" s="91"/>
      <c r="C32" s="91"/>
      <c r="D32" s="91"/>
      <c r="E32" s="91"/>
      <c r="F32" s="91"/>
      <c r="G32" s="91"/>
      <c r="H32" s="91"/>
      <c r="I32" s="92"/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18">
        <f t="shared" si="1"/>
        <v>0</v>
      </c>
      <c r="AA32" s="18">
        <f t="shared" si="1"/>
        <v>0</v>
      </c>
      <c r="AB32" s="93">
        <f t="shared" si="0"/>
        <v>0</v>
      </c>
      <c r="AC32" s="93"/>
    </row>
    <row r="33" spans="1:36" ht="18.75" customHeight="1" x14ac:dyDescent="0.25">
      <c r="A33" s="90" t="s">
        <v>38</v>
      </c>
      <c r="B33" s="91"/>
      <c r="C33" s="91"/>
      <c r="D33" s="91"/>
      <c r="E33" s="91"/>
      <c r="F33" s="91"/>
      <c r="G33" s="91"/>
      <c r="H33" s="91"/>
      <c r="I33" s="92"/>
      <c r="J33" s="29">
        <v>0</v>
      </c>
      <c r="K33" s="29">
        <v>0</v>
      </c>
      <c r="L33" s="29">
        <v>0</v>
      </c>
      <c r="M33" s="29">
        <v>1</v>
      </c>
      <c r="N33" s="29">
        <v>0</v>
      </c>
      <c r="O33" s="29">
        <v>1</v>
      </c>
      <c r="P33" s="29">
        <v>0</v>
      </c>
      <c r="Q33" s="29">
        <v>0</v>
      </c>
      <c r="R33" s="29">
        <v>1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18">
        <f t="shared" si="1"/>
        <v>1</v>
      </c>
      <c r="AA33" s="18">
        <f t="shared" si="1"/>
        <v>2</v>
      </c>
      <c r="AB33" s="93">
        <f t="shared" si="0"/>
        <v>3</v>
      </c>
      <c r="AC33" s="93"/>
    </row>
    <row r="34" spans="1:36" ht="18.75" customHeight="1" x14ac:dyDescent="0.25">
      <c r="A34" s="90" t="s">
        <v>39</v>
      </c>
      <c r="B34" s="91"/>
      <c r="C34" s="91"/>
      <c r="D34" s="91"/>
      <c r="E34" s="91"/>
      <c r="F34" s="91"/>
      <c r="G34" s="91"/>
      <c r="H34" s="91"/>
      <c r="I34" s="92"/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18">
        <f t="shared" si="1"/>
        <v>0</v>
      </c>
      <c r="AA34" s="18">
        <f t="shared" si="1"/>
        <v>0</v>
      </c>
      <c r="AB34" s="93">
        <f t="shared" si="0"/>
        <v>0</v>
      </c>
      <c r="AC34" s="93"/>
    </row>
    <row r="35" spans="1:36" ht="18.75" customHeight="1" x14ac:dyDescent="0.25">
      <c r="A35" s="90" t="s">
        <v>17</v>
      </c>
      <c r="B35" s="91"/>
      <c r="C35" s="91"/>
      <c r="D35" s="91"/>
      <c r="E35" s="91"/>
      <c r="F35" s="91"/>
      <c r="G35" s="91"/>
      <c r="H35" s="91"/>
      <c r="I35" s="92"/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1</v>
      </c>
      <c r="R35" s="29">
        <v>0</v>
      </c>
      <c r="S35" s="29">
        <v>0</v>
      </c>
      <c r="T35" s="29">
        <v>1</v>
      </c>
      <c r="U35" s="29">
        <v>0</v>
      </c>
      <c r="V35" s="29">
        <v>0</v>
      </c>
      <c r="W35" s="29">
        <v>1</v>
      </c>
      <c r="X35" s="29">
        <v>1</v>
      </c>
      <c r="Y35" s="29">
        <v>1</v>
      </c>
      <c r="Z35" s="18">
        <f t="shared" si="1"/>
        <v>2</v>
      </c>
      <c r="AA35" s="18">
        <f t="shared" si="1"/>
        <v>3</v>
      </c>
      <c r="AB35" s="93">
        <f t="shared" si="0"/>
        <v>5</v>
      </c>
      <c r="AC35" s="93"/>
    </row>
    <row r="36" spans="1:36" ht="9" customHeight="1" x14ac:dyDescent="0.25"/>
    <row r="37" spans="1:36" ht="1.5" hidden="1" customHeight="1" x14ac:dyDescent="0.25"/>
    <row r="38" spans="1:36" ht="15.75" x14ac:dyDescent="0.25">
      <c r="A38" s="4" t="s">
        <v>73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N38" s="4" t="s">
        <v>20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36" ht="15" customHeight="1" x14ac:dyDescent="0.25">
      <c r="A39" s="123" t="s">
        <v>74</v>
      </c>
      <c r="B39" s="123"/>
      <c r="C39" s="123"/>
      <c r="D39" s="123"/>
      <c r="E39" s="50" t="s">
        <v>75</v>
      </c>
      <c r="F39" s="50"/>
      <c r="G39" s="50"/>
      <c r="H39" s="50"/>
      <c r="I39" s="50" t="s">
        <v>76</v>
      </c>
      <c r="J39" s="50"/>
      <c r="K39" s="50"/>
      <c r="L39" s="50"/>
      <c r="M39" s="9"/>
      <c r="N39" s="124" t="s">
        <v>77</v>
      </c>
      <c r="O39" s="125"/>
      <c r="P39" s="125"/>
      <c r="Q39" s="125"/>
      <c r="R39" s="125"/>
      <c r="S39" s="126"/>
      <c r="T39" s="50" t="s">
        <v>21</v>
      </c>
      <c r="U39" s="50"/>
      <c r="V39" s="50" t="s">
        <v>22</v>
      </c>
      <c r="W39" s="50"/>
      <c r="X39" s="50"/>
      <c r="Y39" s="50"/>
      <c r="Z39" s="50"/>
      <c r="AA39" s="50" t="s">
        <v>23</v>
      </c>
      <c r="AB39" s="50"/>
      <c r="AC39" s="50"/>
      <c r="AD39" s="10"/>
      <c r="AE39" s="3"/>
      <c r="AG39" s="9"/>
      <c r="AH39" s="9"/>
      <c r="AI39" s="9"/>
      <c r="AJ39" s="9"/>
    </row>
    <row r="40" spans="1:36" ht="51" customHeight="1" x14ac:dyDescent="0.25">
      <c r="A40" s="123"/>
      <c r="B40" s="123"/>
      <c r="C40" s="123"/>
      <c r="D40" s="123"/>
      <c r="E40" s="50"/>
      <c r="F40" s="50"/>
      <c r="G40" s="50"/>
      <c r="H40" s="50"/>
      <c r="I40" s="50"/>
      <c r="J40" s="50"/>
      <c r="K40" s="50"/>
      <c r="L40" s="50"/>
      <c r="M40" s="20"/>
      <c r="N40" s="101"/>
      <c r="O40" s="102"/>
      <c r="P40" s="102"/>
      <c r="Q40" s="102"/>
      <c r="R40" s="102"/>
      <c r="S40" s="127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10"/>
      <c r="AE40" s="3"/>
      <c r="AG40" s="21"/>
      <c r="AH40" s="21"/>
      <c r="AI40" s="21"/>
      <c r="AJ40" s="9"/>
    </row>
    <row r="41" spans="1:36" ht="48.75" customHeight="1" x14ac:dyDescent="0.25">
      <c r="A41" s="50" t="s">
        <v>78</v>
      </c>
      <c r="B41" s="50"/>
      <c r="C41" s="52" t="s">
        <v>79</v>
      </c>
      <c r="D41" s="116"/>
      <c r="E41" s="50" t="s">
        <v>78</v>
      </c>
      <c r="F41" s="50"/>
      <c r="G41" s="50" t="s">
        <v>79</v>
      </c>
      <c r="H41" s="50"/>
      <c r="I41" s="117" t="s">
        <v>80</v>
      </c>
      <c r="J41" s="117"/>
      <c r="K41" s="50" t="s">
        <v>81</v>
      </c>
      <c r="L41" s="50"/>
      <c r="M41" s="20"/>
      <c r="N41" s="118" t="s">
        <v>82</v>
      </c>
      <c r="O41" s="119"/>
      <c r="P41" s="120"/>
      <c r="Q41" s="121" t="s">
        <v>83</v>
      </c>
      <c r="R41" s="122"/>
      <c r="S41" s="122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10"/>
      <c r="AE41" s="22"/>
      <c r="AG41" s="21"/>
      <c r="AH41" s="21"/>
      <c r="AI41" s="21"/>
      <c r="AJ41" s="9"/>
    </row>
    <row r="42" spans="1:36" ht="21.75" customHeight="1" x14ac:dyDescent="0.25">
      <c r="A42" s="56">
        <v>0</v>
      </c>
      <c r="B42" s="56"/>
      <c r="C42" s="139">
        <v>279</v>
      </c>
      <c r="D42" s="140"/>
      <c r="E42" s="134">
        <v>0</v>
      </c>
      <c r="F42" s="134"/>
      <c r="G42" s="134">
        <v>28</v>
      </c>
      <c r="H42" s="134"/>
      <c r="I42" s="134">
        <v>0</v>
      </c>
      <c r="J42" s="134"/>
      <c r="K42" s="134">
        <v>0</v>
      </c>
      <c r="L42" s="134"/>
      <c r="M42" s="20"/>
      <c r="N42" s="144">
        <v>50</v>
      </c>
      <c r="O42" s="144"/>
      <c r="P42" s="144"/>
      <c r="Q42" s="141">
        <v>47</v>
      </c>
      <c r="R42" s="142"/>
      <c r="S42" s="142"/>
      <c r="T42" s="145">
        <v>0</v>
      </c>
      <c r="U42" s="145"/>
      <c r="V42" s="145">
        <v>0</v>
      </c>
      <c r="W42" s="145"/>
      <c r="X42" s="145"/>
      <c r="Y42" s="145"/>
      <c r="Z42" s="145"/>
      <c r="AA42" s="146">
        <v>0</v>
      </c>
      <c r="AB42" s="146"/>
      <c r="AC42" s="146"/>
      <c r="AD42" s="22"/>
      <c r="AE42" s="23"/>
      <c r="AG42" s="9"/>
      <c r="AH42" s="9"/>
      <c r="AI42" s="9"/>
      <c r="AJ42" s="9"/>
    </row>
    <row r="43" spans="1:36" ht="6" customHeight="1" x14ac:dyDescent="0.25">
      <c r="L43" s="24"/>
      <c r="AG43" s="9"/>
      <c r="AH43" s="9"/>
      <c r="AI43" s="9"/>
      <c r="AJ43" s="9"/>
    </row>
    <row r="44" spans="1:36" ht="15.75" x14ac:dyDescent="0.25">
      <c r="A44" s="4" t="s">
        <v>24</v>
      </c>
      <c r="B44" s="19"/>
      <c r="C44" s="19"/>
      <c r="D44" s="19"/>
      <c r="E44" s="19"/>
      <c r="M44" s="19"/>
      <c r="N44" s="4" t="s">
        <v>25</v>
      </c>
      <c r="O44" s="19"/>
      <c r="AG44" s="9"/>
      <c r="AH44" s="9"/>
      <c r="AI44" s="9"/>
      <c r="AJ44" s="9"/>
    </row>
    <row r="45" spans="1:36" ht="15" customHeight="1" x14ac:dyDescent="0.25">
      <c r="A45" s="50" t="s">
        <v>26</v>
      </c>
      <c r="B45" s="50"/>
      <c r="C45" s="50"/>
      <c r="D45" s="50"/>
      <c r="E45" s="50"/>
      <c r="F45" s="105" t="s">
        <v>27</v>
      </c>
      <c r="G45" s="106"/>
      <c r="H45" s="106"/>
      <c r="I45" s="106"/>
      <c r="J45" s="106"/>
      <c r="K45" s="106"/>
      <c r="L45" s="107"/>
      <c r="M45" s="24"/>
      <c r="N45" s="50" t="s">
        <v>84</v>
      </c>
      <c r="O45" s="50"/>
      <c r="P45" s="50"/>
      <c r="Q45" s="50"/>
      <c r="R45" s="105" t="s">
        <v>28</v>
      </c>
      <c r="S45" s="106"/>
      <c r="T45" s="106"/>
      <c r="U45" s="107"/>
      <c r="V45" s="50" t="s">
        <v>29</v>
      </c>
      <c r="W45" s="50"/>
      <c r="X45" s="50"/>
      <c r="Y45" s="50"/>
      <c r="Z45" s="50"/>
      <c r="AA45" s="106" t="s">
        <v>85</v>
      </c>
      <c r="AB45" s="106"/>
      <c r="AC45" s="107"/>
    </row>
    <row r="46" spans="1:36" x14ac:dyDescent="0.25">
      <c r="A46" s="50"/>
      <c r="B46" s="50"/>
      <c r="C46" s="50"/>
      <c r="D46" s="50"/>
      <c r="E46" s="50"/>
      <c r="F46" s="108"/>
      <c r="G46" s="109"/>
      <c r="H46" s="109"/>
      <c r="I46" s="109"/>
      <c r="J46" s="109"/>
      <c r="K46" s="109"/>
      <c r="L46" s="110"/>
      <c r="M46" s="24"/>
      <c r="N46" s="50"/>
      <c r="O46" s="50"/>
      <c r="P46" s="50"/>
      <c r="Q46" s="50"/>
      <c r="R46" s="108"/>
      <c r="S46" s="109"/>
      <c r="T46" s="109"/>
      <c r="U46" s="110"/>
      <c r="V46" s="50"/>
      <c r="W46" s="50"/>
      <c r="X46" s="50"/>
      <c r="Y46" s="50"/>
      <c r="Z46" s="50"/>
      <c r="AA46" s="109"/>
      <c r="AB46" s="109"/>
      <c r="AC46" s="110"/>
    </row>
    <row r="47" spans="1:36" x14ac:dyDescent="0.25">
      <c r="A47" s="50"/>
      <c r="B47" s="50"/>
      <c r="C47" s="50"/>
      <c r="D47" s="50"/>
      <c r="E47" s="50"/>
      <c r="F47" s="111"/>
      <c r="G47" s="112"/>
      <c r="H47" s="112"/>
      <c r="I47" s="112"/>
      <c r="J47" s="112"/>
      <c r="K47" s="112"/>
      <c r="L47" s="113"/>
      <c r="M47" s="24"/>
      <c r="N47" s="50"/>
      <c r="O47" s="50"/>
      <c r="P47" s="50"/>
      <c r="Q47" s="50"/>
      <c r="R47" s="111"/>
      <c r="S47" s="112"/>
      <c r="T47" s="112"/>
      <c r="U47" s="113"/>
      <c r="V47" s="50"/>
      <c r="W47" s="50"/>
      <c r="X47" s="50"/>
      <c r="Y47" s="50"/>
      <c r="Z47" s="50"/>
      <c r="AA47" s="112"/>
      <c r="AB47" s="112"/>
      <c r="AC47" s="113"/>
    </row>
    <row r="48" spans="1:36" ht="21.75" customHeight="1" x14ac:dyDescent="0.25">
      <c r="A48" s="50">
        <v>40</v>
      </c>
      <c r="B48" s="50"/>
      <c r="C48" s="50"/>
      <c r="D48" s="50"/>
      <c r="E48" s="50"/>
      <c r="F48" s="111">
        <v>6</v>
      </c>
      <c r="G48" s="112"/>
      <c r="H48" s="112"/>
      <c r="I48" s="112"/>
      <c r="J48" s="112"/>
      <c r="K48" s="112"/>
      <c r="L48" s="113"/>
      <c r="M48" s="24"/>
      <c r="N48" s="50">
        <v>8</v>
      </c>
      <c r="O48" s="50"/>
      <c r="P48" s="50"/>
      <c r="Q48" s="50"/>
      <c r="R48" s="111">
        <v>41</v>
      </c>
      <c r="S48" s="112"/>
      <c r="T48" s="112"/>
      <c r="U48" s="113"/>
      <c r="V48" s="50">
        <v>107</v>
      </c>
      <c r="W48" s="50"/>
      <c r="X48" s="50"/>
      <c r="Y48" s="50"/>
      <c r="Z48" s="50"/>
      <c r="AA48" s="135">
        <v>0</v>
      </c>
      <c r="AB48" s="135"/>
      <c r="AC48" s="136"/>
    </row>
    <row r="49" spans="1:40" x14ac:dyDescent="0.25">
      <c r="A49" s="16"/>
      <c r="B49" s="16" t="s">
        <v>86</v>
      </c>
      <c r="C49" s="7" t="s">
        <v>87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40" x14ac:dyDescent="0.25">
      <c r="A50" s="16"/>
      <c r="B50" s="16" t="s">
        <v>12</v>
      </c>
      <c r="C50" s="7" t="s">
        <v>88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40" x14ac:dyDescent="0.25">
      <c r="A51" s="128"/>
      <c r="B51" s="16" t="s">
        <v>13</v>
      </c>
      <c r="C51" s="7" t="s">
        <v>89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40" ht="15" customHeight="1" x14ac:dyDescent="0.25">
      <c r="A52" s="128"/>
      <c r="B52" s="128" t="s">
        <v>14</v>
      </c>
      <c r="C52" s="137" t="s">
        <v>90</v>
      </c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27"/>
      <c r="AN52" s="15">
        <f ca="1">AN52:AO52</f>
        <v>0</v>
      </c>
    </row>
    <row r="53" spans="1:40" x14ac:dyDescent="0.25">
      <c r="B53" s="128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27"/>
    </row>
    <row r="54" spans="1:40" ht="12.75" customHeight="1" x14ac:dyDescent="0.25">
      <c r="M54" s="129" t="s">
        <v>19</v>
      </c>
      <c r="N54" s="129"/>
      <c r="O54" s="129"/>
      <c r="P54" s="129"/>
      <c r="Q54" s="129"/>
      <c r="R54" s="129"/>
      <c r="S54" s="11"/>
    </row>
    <row r="55" spans="1:40" x14ac:dyDescent="0.25">
      <c r="L55" s="12"/>
      <c r="M55" s="12"/>
      <c r="N55" s="12"/>
      <c r="O55" s="12"/>
      <c r="P55" s="13"/>
      <c r="R55" s="11"/>
      <c r="S55" s="11"/>
    </row>
    <row r="56" spans="1:40" x14ac:dyDescent="0.25">
      <c r="L56" s="9"/>
      <c r="R56" s="25"/>
      <c r="S56" s="25"/>
      <c r="T56" s="9"/>
      <c r="U56" s="9"/>
      <c r="V56" s="9"/>
      <c r="W56" s="9"/>
      <c r="X56" s="9"/>
      <c r="Y56" s="9"/>
      <c r="Z56" s="9"/>
    </row>
    <row r="57" spans="1:40" ht="15.75" x14ac:dyDescent="0.25">
      <c r="K57" s="130" t="s">
        <v>96</v>
      </c>
      <c r="L57" s="130"/>
      <c r="M57" s="130"/>
      <c r="N57" s="130"/>
      <c r="O57" s="130"/>
      <c r="P57" s="130"/>
      <c r="Q57" s="130"/>
      <c r="R57" s="130"/>
      <c r="S57" s="130"/>
      <c r="T57" s="130"/>
      <c r="U57" s="9"/>
      <c r="V57" s="9"/>
      <c r="W57" s="9"/>
      <c r="X57" s="9"/>
      <c r="Y57" s="9"/>
      <c r="Z57" s="9"/>
    </row>
    <row r="58" spans="1:40" ht="15.75" x14ac:dyDescent="0.25">
      <c r="K58" s="131" t="s">
        <v>98</v>
      </c>
      <c r="L58" s="131"/>
      <c r="M58" s="131"/>
      <c r="N58" s="131"/>
      <c r="O58" s="131"/>
      <c r="P58" s="131"/>
      <c r="Q58" s="131"/>
      <c r="R58" s="131"/>
      <c r="S58" s="131"/>
      <c r="T58" s="131"/>
      <c r="U58" s="9"/>
      <c r="V58" s="9"/>
      <c r="W58" s="9"/>
      <c r="X58" s="9"/>
      <c r="Y58" s="9"/>
      <c r="Z58" s="9"/>
    </row>
    <row r="60" spans="1:40" ht="12.75" customHeight="1" x14ac:dyDescent="0.25"/>
    <row r="61" spans="1:40" ht="12.75" customHeight="1" x14ac:dyDescent="0.25"/>
    <row r="62" spans="1:40" ht="12.75" customHeight="1" x14ac:dyDescent="0.25">
      <c r="A62" s="34" t="s">
        <v>41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</row>
    <row r="63" spans="1:40" ht="12" customHeight="1" x14ac:dyDescent="0.25">
      <c r="A63" s="35" t="s">
        <v>30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spans="1:40" ht="12" customHeight="1" x14ac:dyDescent="0.25">
      <c r="A64" s="35" t="s">
        <v>46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spans="1:29" ht="12" customHeight="1" x14ac:dyDescent="0.25">
      <c r="A65" s="36" t="s">
        <v>62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 ht="12" customHeight="1" x14ac:dyDescent="0.25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5">
      <c r="A67" s="37" t="s">
        <v>63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spans="1:29" ht="6" customHeight="1" x14ac:dyDescent="0.25"/>
    <row r="69" spans="1:29" ht="12.75" customHeight="1" x14ac:dyDescent="0.25">
      <c r="A69" s="38" t="s">
        <v>64</v>
      </c>
      <c r="B69" s="39"/>
      <c r="C69" s="39"/>
      <c r="D69" s="39"/>
      <c r="E69" s="39"/>
      <c r="F69" s="39"/>
      <c r="G69" s="39"/>
      <c r="H69" s="40"/>
      <c r="I69" s="38" t="s">
        <v>65</v>
      </c>
      <c r="J69" s="39"/>
      <c r="K69" s="39"/>
      <c r="L69" s="39"/>
      <c r="M69" s="39"/>
      <c r="N69" s="39"/>
      <c r="O69" s="39"/>
      <c r="P69" s="39"/>
      <c r="Q69" s="40"/>
      <c r="R69" s="38" t="s">
        <v>18</v>
      </c>
      <c r="S69" s="39"/>
      <c r="T69" s="39"/>
      <c r="U69" s="40"/>
      <c r="V69" s="41" t="s">
        <v>66</v>
      </c>
      <c r="W69" s="42"/>
      <c r="X69" s="42"/>
      <c r="Y69" s="42"/>
      <c r="Z69" s="42"/>
      <c r="AA69" s="42"/>
      <c r="AB69" s="42"/>
      <c r="AC69" s="43"/>
    </row>
    <row r="70" spans="1:29" ht="12.75" customHeight="1" x14ac:dyDescent="0.25">
      <c r="A70" s="47" t="s">
        <v>40</v>
      </c>
      <c r="B70" s="48"/>
      <c r="C70" s="48"/>
      <c r="D70" s="48"/>
      <c r="E70" s="48"/>
      <c r="F70" s="48"/>
      <c r="G70" s="48"/>
      <c r="H70" s="49"/>
      <c r="I70" s="47" t="s">
        <v>61</v>
      </c>
      <c r="J70" s="48"/>
      <c r="K70" s="48"/>
      <c r="L70" s="48"/>
      <c r="M70" s="48"/>
      <c r="N70" s="48"/>
      <c r="O70" s="48"/>
      <c r="P70" s="48"/>
      <c r="Q70" s="49"/>
      <c r="R70" s="58">
        <v>2025</v>
      </c>
      <c r="S70" s="59"/>
      <c r="T70" s="59"/>
      <c r="U70" s="60"/>
      <c r="V70" s="44"/>
      <c r="W70" s="45"/>
      <c r="X70" s="45"/>
      <c r="Y70" s="45"/>
      <c r="Z70" s="45"/>
      <c r="AA70" s="45"/>
      <c r="AB70" s="45"/>
      <c r="AC70" s="46"/>
    </row>
    <row r="71" spans="1:29" ht="12.75" customHeight="1" x14ac:dyDescent="0.25">
      <c r="A71" s="61" t="s">
        <v>67</v>
      </c>
      <c r="B71" s="62"/>
      <c r="C71" s="62"/>
      <c r="D71" s="62"/>
      <c r="E71" s="62"/>
      <c r="F71" s="62"/>
      <c r="G71" s="62"/>
      <c r="H71" s="63"/>
      <c r="I71" s="38" t="s">
        <v>68</v>
      </c>
      <c r="J71" s="39"/>
      <c r="K71" s="39"/>
      <c r="L71" s="39"/>
      <c r="M71" s="39"/>
      <c r="N71" s="39"/>
      <c r="O71" s="39"/>
      <c r="P71" s="39"/>
      <c r="Q71" s="40"/>
      <c r="R71" s="64" t="s">
        <v>47</v>
      </c>
      <c r="S71" s="39"/>
      <c r="T71" s="39"/>
      <c r="U71" s="40"/>
      <c r="V71" s="65"/>
      <c r="W71" s="66"/>
      <c r="X71" s="66"/>
      <c r="Y71" s="66"/>
      <c r="Z71" s="66"/>
      <c r="AA71" s="66"/>
      <c r="AB71" s="66"/>
      <c r="AC71" s="67"/>
    </row>
    <row r="72" spans="1:29" ht="12.75" customHeight="1" x14ac:dyDescent="0.25">
      <c r="A72" s="71" t="s">
        <v>61</v>
      </c>
      <c r="B72" s="72"/>
      <c r="C72" s="72"/>
      <c r="D72" s="72"/>
      <c r="E72" s="72"/>
      <c r="F72" s="72"/>
      <c r="G72" s="72"/>
      <c r="H72" s="73"/>
      <c r="I72" s="77" t="s">
        <v>60</v>
      </c>
      <c r="J72" s="78"/>
      <c r="K72" s="78"/>
      <c r="L72" s="78"/>
      <c r="M72" s="78"/>
      <c r="N72" s="78"/>
      <c r="O72" s="78"/>
      <c r="P72" s="78"/>
      <c r="Q72" s="79"/>
      <c r="R72" s="83" t="s">
        <v>50</v>
      </c>
      <c r="S72" s="84"/>
      <c r="T72" s="84"/>
      <c r="U72" s="85"/>
      <c r="V72" s="65"/>
      <c r="W72" s="66"/>
      <c r="X72" s="66"/>
      <c r="Y72" s="66"/>
      <c r="Z72" s="66"/>
      <c r="AA72" s="66"/>
      <c r="AB72" s="66"/>
      <c r="AC72" s="67"/>
    </row>
    <row r="73" spans="1:29" ht="6.75" customHeight="1" x14ac:dyDescent="0.25">
      <c r="A73" s="74"/>
      <c r="B73" s="75"/>
      <c r="C73" s="75"/>
      <c r="D73" s="75"/>
      <c r="E73" s="75"/>
      <c r="F73" s="75"/>
      <c r="G73" s="75"/>
      <c r="H73" s="76"/>
      <c r="I73" s="80"/>
      <c r="J73" s="81"/>
      <c r="K73" s="81"/>
      <c r="L73" s="81"/>
      <c r="M73" s="81"/>
      <c r="N73" s="81"/>
      <c r="O73" s="81"/>
      <c r="P73" s="81"/>
      <c r="Q73" s="82"/>
      <c r="R73" s="86"/>
      <c r="S73" s="87"/>
      <c r="T73" s="87"/>
      <c r="U73" s="88"/>
      <c r="V73" s="68"/>
      <c r="W73" s="69"/>
      <c r="X73" s="69"/>
      <c r="Y73" s="69"/>
      <c r="Z73" s="69"/>
      <c r="AA73" s="69"/>
      <c r="AB73" s="69"/>
      <c r="AC73" s="70"/>
    </row>
    <row r="74" spans="1:29" ht="10.5" customHeight="1" x14ac:dyDescent="0.25"/>
    <row r="75" spans="1:29" ht="12" customHeight="1" x14ac:dyDescent="0.25">
      <c r="A75" s="4" t="s">
        <v>31</v>
      </c>
    </row>
    <row r="76" spans="1:29" ht="12.75" customHeight="1" x14ac:dyDescent="0.25">
      <c r="L76" s="50" t="s">
        <v>15</v>
      </c>
      <c r="M76" s="50"/>
      <c r="N76" s="50"/>
      <c r="O76" s="51" t="s">
        <v>16</v>
      </c>
      <c r="P76" s="51"/>
      <c r="Q76" s="51"/>
      <c r="R76" s="50" t="s">
        <v>32</v>
      </c>
      <c r="S76" s="50"/>
      <c r="T76" s="50"/>
      <c r="U76" s="52"/>
      <c r="V76" s="51" t="s">
        <v>33</v>
      </c>
      <c r="W76" s="51"/>
      <c r="X76" s="51"/>
      <c r="Y76" s="51"/>
      <c r="Z76" s="51"/>
      <c r="AA76" s="51" t="s">
        <v>0</v>
      </c>
      <c r="AB76" s="51"/>
      <c r="AC76" s="51"/>
    </row>
    <row r="77" spans="1:29" ht="12.75" customHeight="1" x14ac:dyDescent="0.25">
      <c r="L77" s="50"/>
      <c r="M77" s="50"/>
      <c r="N77" s="50"/>
      <c r="O77" s="51"/>
      <c r="P77" s="51"/>
      <c r="Q77" s="51"/>
      <c r="R77" s="50"/>
      <c r="S77" s="50"/>
      <c r="T77" s="50"/>
      <c r="U77" s="52"/>
      <c r="V77" s="51"/>
      <c r="W77" s="51"/>
      <c r="X77" s="51"/>
      <c r="Y77" s="51"/>
      <c r="Z77" s="51"/>
      <c r="AA77" s="51"/>
      <c r="AB77" s="51"/>
      <c r="AC77" s="51"/>
    </row>
    <row r="78" spans="1:29" ht="20.25" customHeight="1" x14ac:dyDescent="0.3">
      <c r="A78" s="53" t="s">
        <v>69</v>
      </c>
      <c r="B78" s="54"/>
      <c r="C78" s="54"/>
      <c r="D78" s="54"/>
      <c r="E78" s="54"/>
      <c r="F78" s="54"/>
      <c r="G78" s="54"/>
      <c r="H78" s="54"/>
      <c r="I78" s="54"/>
      <c r="J78" s="54"/>
      <c r="K78" s="55"/>
      <c r="L78" s="56">
        <v>25</v>
      </c>
      <c r="M78" s="56"/>
      <c r="N78" s="56"/>
      <c r="O78" s="56">
        <v>4</v>
      </c>
      <c r="P78" s="56"/>
      <c r="Q78" s="56"/>
      <c r="R78" s="56">
        <v>0</v>
      </c>
      <c r="S78" s="56"/>
      <c r="T78" s="56"/>
      <c r="U78" s="57"/>
      <c r="V78" s="56">
        <v>0</v>
      </c>
      <c r="W78" s="56"/>
      <c r="X78" s="56"/>
      <c r="Y78" s="56"/>
      <c r="Z78" s="56"/>
      <c r="AA78" s="89">
        <f>V78+R78+O78+L78</f>
        <v>29</v>
      </c>
      <c r="AB78" s="89"/>
      <c r="AC78" s="89"/>
    </row>
    <row r="79" spans="1:29" ht="20.25" customHeight="1" x14ac:dyDescent="0.3">
      <c r="A79" s="53" t="s">
        <v>34</v>
      </c>
      <c r="B79" s="54"/>
      <c r="C79" s="54"/>
      <c r="D79" s="54"/>
      <c r="E79" s="54"/>
      <c r="F79" s="54"/>
      <c r="G79" s="54"/>
      <c r="H79" s="54"/>
      <c r="I79" s="54"/>
      <c r="J79" s="54"/>
      <c r="K79" s="55"/>
      <c r="L79" s="56">
        <v>18</v>
      </c>
      <c r="M79" s="56"/>
      <c r="N79" s="56"/>
      <c r="O79" s="56">
        <v>0</v>
      </c>
      <c r="P79" s="56"/>
      <c r="Q79" s="56"/>
      <c r="R79" s="56">
        <v>0</v>
      </c>
      <c r="S79" s="56"/>
      <c r="T79" s="56"/>
      <c r="U79" s="57"/>
      <c r="V79" s="56">
        <v>2</v>
      </c>
      <c r="W79" s="56"/>
      <c r="X79" s="56"/>
      <c r="Y79" s="56"/>
      <c r="Z79" s="56"/>
      <c r="AA79" s="89">
        <f>V79+R79+O79+L79</f>
        <v>20</v>
      </c>
      <c r="AB79" s="89"/>
      <c r="AC79" s="89"/>
    </row>
    <row r="80" spans="1:29" ht="20.25" customHeight="1" x14ac:dyDescent="0.3">
      <c r="A80" s="53" t="s">
        <v>70</v>
      </c>
      <c r="B80" s="54"/>
      <c r="C80" s="54"/>
      <c r="D80" s="54"/>
      <c r="E80" s="54"/>
      <c r="F80" s="54"/>
      <c r="G80" s="54"/>
      <c r="H80" s="54"/>
      <c r="I80" s="54"/>
      <c r="J80" s="54"/>
      <c r="K80" s="55"/>
      <c r="L80" s="56">
        <v>0</v>
      </c>
      <c r="M80" s="56"/>
      <c r="N80" s="56"/>
      <c r="O80" s="56">
        <v>0</v>
      </c>
      <c r="P80" s="56"/>
      <c r="Q80" s="56"/>
      <c r="R80" s="56">
        <v>0</v>
      </c>
      <c r="S80" s="56"/>
      <c r="T80" s="56"/>
      <c r="U80" s="57"/>
      <c r="V80" s="56">
        <v>0</v>
      </c>
      <c r="W80" s="56"/>
      <c r="X80" s="56"/>
      <c r="Y80" s="56"/>
      <c r="Z80" s="56"/>
      <c r="AA80" s="89">
        <f>V80+R80+O80+L80</f>
        <v>0</v>
      </c>
      <c r="AB80" s="89"/>
      <c r="AC80" s="89"/>
    </row>
    <row r="81" spans="1:29" ht="21" customHeight="1" x14ac:dyDescent="0.3">
      <c r="A81" s="53" t="s">
        <v>35</v>
      </c>
      <c r="B81" s="54"/>
      <c r="C81" s="54"/>
      <c r="D81" s="54"/>
      <c r="E81" s="54"/>
      <c r="F81" s="54"/>
      <c r="G81" s="54"/>
      <c r="H81" s="54"/>
      <c r="I81" s="54"/>
      <c r="J81" s="54"/>
      <c r="K81" s="55"/>
      <c r="L81" s="56">
        <v>2</v>
      </c>
      <c r="M81" s="56"/>
      <c r="N81" s="56"/>
      <c r="O81" s="56">
        <v>0</v>
      </c>
      <c r="P81" s="56"/>
      <c r="Q81" s="56"/>
      <c r="R81" s="56">
        <v>0</v>
      </c>
      <c r="S81" s="56"/>
      <c r="T81" s="56"/>
      <c r="U81" s="57"/>
      <c r="V81" s="56">
        <v>0</v>
      </c>
      <c r="W81" s="56"/>
      <c r="X81" s="56"/>
      <c r="Y81" s="56"/>
      <c r="Z81" s="56"/>
      <c r="AA81" s="89">
        <f>V81+R81+O81+L81</f>
        <v>2</v>
      </c>
      <c r="AB81" s="89"/>
      <c r="AC81" s="89"/>
    </row>
    <row r="82" spans="1:29" ht="4.5" customHeight="1" x14ac:dyDescent="0.25"/>
    <row r="83" spans="1:29" ht="12.75" customHeight="1" x14ac:dyDescent="0.25">
      <c r="A83" s="95" t="s">
        <v>36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</row>
    <row r="84" spans="1:29" ht="12.75" customHeight="1" x14ac:dyDescent="0.25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</row>
    <row r="85" spans="1:29" ht="0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7.25" customHeight="1" x14ac:dyDescent="0.25">
      <c r="J86" s="96" t="s">
        <v>9</v>
      </c>
      <c r="K86" s="97"/>
      <c r="L86" s="98" t="s">
        <v>10</v>
      </c>
      <c r="M86" s="94"/>
      <c r="N86" s="94" t="s">
        <v>3</v>
      </c>
      <c r="O86" s="94"/>
      <c r="P86" s="94" t="s">
        <v>4</v>
      </c>
      <c r="Q86" s="94"/>
      <c r="R86" s="94" t="s">
        <v>5</v>
      </c>
      <c r="S86" s="94"/>
      <c r="T86" s="94" t="s">
        <v>6</v>
      </c>
      <c r="U86" s="94"/>
      <c r="V86" s="94" t="s">
        <v>7</v>
      </c>
      <c r="W86" s="94"/>
      <c r="X86" s="94" t="s">
        <v>11</v>
      </c>
      <c r="Y86" s="94"/>
      <c r="Z86" s="99" t="s">
        <v>49</v>
      </c>
      <c r="AA86" s="99"/>
      <c r="AB86" s="94" t="s">
        <v>0</v>
      </c>
      <c r="AC86" s="94"/>
    </row>
    <row r="87" spans="1:29" ht="17.25" customHeight="1" x14ac:dyDescent="0.25">
      <c r="J87" s="2" t="s">
        <v>1</v>
      </c>
      <c r="K87" s="2" t="s">
        <v>2</v>
      </c>
      <c r="L87" s="2" t="s">
        <v>1</v>
      </c>
      <c r="M87" s="2" t="s">
        <v>2</v>
      </c>
      <c r="N87" s="2" t="s">
        <v>1</v>
      </c>
      <c r="O87" s="2" t="s">
        <v>2</v>
      </c>
      <c r="P87" s="2" t="s">
        <v>1</v>
      </c>
      <c r="Q87" s="2" t="s">
        <v>2</v>
      </c>
      <c r="R87" s="2" t="s">
        <v>1</v>
      </c>
      <c r="S87" s="2" t="s">
        <v>2</v>
      </c>
      <c r="T87" s="2" t="s">
        <v>1</v>
      </c>
      <c r="U87" s="2" t="s">
        <v>2</v>
      </c>
      <c r="V87" s="2" t="s">
        <v>1</v>
      </c>
      <c r="W87" s="2" t="s">
        <v>2</v>
      </c>
      <c r="X87" s="2" t="s">
        <v>1</v>
      </c>
      <c r="Y87" s="2" t="s">
        <v>2</v>
      </c>
      <c r="Z87" s="17" t="s">
        <v>1</v>
      </c>
      <c r="AA87" s="17" t="s">
        <v>2</v>
      </c>
      <c r="AB87" s="94"/>
      <c r="AC87" s="94"/>
    </row>
    <row r="88" spans="1:29" ht="18.75" customHeight="1" x14ac:dyDescent="0.25">
      <c r="A88" s="90" t="s">
        <v>71</v>
      </c>
      <c r="B88" s="91"/>
      <c r="C88" s="91"/>
      <c r="D88" s="91"/>
      <c r="E88" s="91"/>
      <c r="F88" s="91"/>
      <c r="G88" s="91"/>
      <c r="H88" s="91"/>
      <c r="I88" s="92"/>
      <c r="J88" s="14">
        <v>0</v>
      </c>
      <c r="K88" s="14">
        <v>0</v>
      </c>
      <c r="L88" s="14">
        <v>0</v>
      </c>
      <c r="M88" s="14">
        <v>1</v>
      </c>
      <c r="N88" s="14">
        <v>3</v>
      </c>
      <c r="O88" s="14">
        <v>5</v>
      </c>
      <c r="P88" s="14">
        <v>3</v>
      </c>
      <c r="Q88" s="14">
        <v>3</v>
      </c>
      <c r="R88" s="14">
        <v>4</v>
      </c>
      <c r="S88" s="14">
        <v>2</v>
      </c>
      <c r="T88" s="14">
        <v>2</v>
      </c>
      <c r="U88" s="14">
        <v>1</v>
      </c>
      <c r="V88" s="14">
        <v>0</v>
      </c>
      <c r="W88" s="14">
        <v>2</v>
      </c>
      <c r="X88" s="14">
        <v>3</v>
      </c>
      <c r="Y88" s="14">
        <v>0</v>
      </c>
      <c r="Z88" s="18">
        <f>X88+V88+T88+R88+P88+N88+L88+J88</f>
        <v>15</v>
      </c>
      <c r="AA88" s="18">
        <f>Y88+W88+U88+S88+Q88+O88+M88+K88</f>
        <v>14</v>
      </c>
      <c r="AB88" s="93">
        <f t="shared" ref="AB88:AB93" si="2">AA88+Z88</f>
        <v>29</v>
      </c>
      <c r="AC88" s="93"/>
    </row>
    <row r="89" spans="1:29" ht="18.75" customHeight="1" x14ac:dyDescent="0.25">
      <c r="A89" s="53" t="s">
        <v>37</v>
      </c>
      <c r="B89" s="54"/>
      <c r="C89" s="54"/>
      <c r="D89" s="54"/>
      <c r="E89" s="54"/>
      <c r="F89" s="54"/>
      <c r="G89" s="54"/>
      <c r="H89" s="54"/>
      <c r="I89" s="55"/>
      <c r="J89" s="29">
        <v>0</v>
      </c>
      <c r="K89" s="29">
        <v>0</v>
      </c>
      <c r="L89" s="29">
        <v>0</v>
      </c>
      <c r="M89" s="29">
        <v>1</v>
      </c>
      <c r="N89" s="29">
        <v>1</v>
      </c>
      <c r="O89" s="29">
        <v>1</v>
      </c>
      <c r="P89" s="29">
        <v>2</v>
      </c>
      <c r="Q89" s="29">
        <v>0</v>
      </c>
      <c r="R89" s="29">
        <v>1</v>
      </c>
      <c r="S89" s="29">
        <v>0</v>
      </c>
      <c r="T89" s="29">
        <v>2</v>
      </c>
      <c r="U89" s="29">
        <v>0</v>
      </c>
      <c r="V89" s="29">
        <v>2</v>
      </c>
      <c r="W89" s="29">
        <v>1</v>
      </c>
      <c r="X89" s="29">
        <v>5</v>
      </c>
      <c r="Y89" s="29">
        <v>2</v>
      </c>
      <c r="Z89" s="18">
        <f t="shared" ref="Z89:AA93" si="3">X89+V89+T89+R89+P89+N89+L89+J89</f>
        <v>13</v>
      </c>
      <c r="AA89" s="18">
        <f t="shared" si="3"/>
        <v>5</v>
      </c>
      <c r="AB89" s="93">
        <f t="shared" si="2"/>
        <v>18</v>
      </c>
      <c r="AC89" s="93"/>
    </row>
    <row r="90" spans="1:29" ht="24" customHeight="1" x14ac:dyDescent="0.25">
      <c r="A90" s="90" t="s">
        <v>72</v>
      </c>
      <c r="B90" s="91"/>
      <c r="C90" s="91"/>
      <c r="D90" s="91"/>
      <c r="E90" s="91"/>
      <c r="F90" s="91"/>
      <c r="G90" s="91"/>
      <c r="H90" s="91"/>
      <c r="I90" s="92"/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18">
        <f t="shared" si="3"/>
        <v>0</v>
      </c>
      <c r="AA90" s="18">
        <f t="shared" si="3"/>
        <v>0</v>
      </c>
      <c r="AB90" s="93">
        <f t="shared" si="2"/>
        <v>0</v>
      </c>
      <c r="AC90" s="93"/>
    </row>
    <row r="91" spans="1:29" ht="18.75" customHeight="1" x14ac:dyDescent="0.25">
      <c r="A91" s="90" t="s">
        <v>38</v>
      </c>
      <c r="B91" s="91"/>
      <c r="C91" s="91"/>
      <c r="D91" s="91"/>
      <c r="E91" s="91"/>
      <c r="F91" s="91"/>
      <c r="G91" s="91"/>
      <c r="H91" s="91"/>
      <c r="I91" s="92"/>
      <c r="J91" s="29">
        <v>1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1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18">
        <f t="shared" si="3"/>
        <v>2</v>
      </c>
      <c r="AA91" s="18">
        <f t="shared" si="3"/>
        <v>0</v>
      </c>
      <c r="AB91" s="93">
        <f t="shared" si="2"/>
        <v>2</v>
      </c>
      <c r="AC91" s="93"/>
    </row>
    <row r="92" spans="1:29" ht="18.75" customHeight="1" x14ac:dyDescent="0.25">
      <c r="A92" s="90" t="s">
        <v>39</v>
      </c>
      <c r="B92" s="91"/>
      <c r="C92" s="91"/>
      <c r="D92" s="91"/>
      <c r="E92" s="91"/>
      <c r="F92" s="91"/>
      <c r="G92" s="91"/>
      <c r="H92" s="91"/>
      <c r="I92" s="92"/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18">
        <f t="shared" si="3"/>
        <v>0</v>
      </c>
      <c r="AA92" s="18">
        <f t="shared" si="3"/>
        <v>0</v>
      </c>
      <c r="AB92" s="93">
        <f t="shared" si="2"/>
        <v>0</v>
      </c>
      <c r="AC92" s="93"/>
    </row>
    <row r="93" spans="1:29" ht="18.75" customHeight="1" x14ac:dyDescent="0.25">
      <c r="A93" s="90" t="s">
        <v>17</v>
      </c>
      <c r="B93" s="91"/>
      <c r="C93" s="91"/>
      <c r="D93" s="91"/>
      <c r="E93" s="91"/>
      <c r="F93" s="91"/>
      <c r="G93" s="91"/>
      <c r="H93" s="91"/>
      <c r="I93" s="92"/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1</v>
      </c>
      <c r="S93" s="29">
        <v>0</v>
      </c>
      <c r="T93" s="29">
        <v>1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18">
        <f t="shared" si="3"/>
        <v>2</v>
      </c>
      <c r="AA93" s="18">
        <f t="shared" si="3"/>
        <v>0</v>
      </c>
      <c r="AB93" s="93">
        <f t="shared" si="2"/>
        <v>2</v>
      </c>
      <c r="AC93" s="93"/>
    </row>
    <row r="94" spans="1:29" ht="9" customHeight="1" x14ac:dyDescent="0.25"/>
    <row r="95" spans="1:29" ht="1.5" hidden="1" customHeight="1" x14ac:dyDescent="0.25"/>
    <row r="96" spans="1:29" ht="15.75" x14ac:dyDescent="0.25">
      <c r="A96" s="4" t="s">
        <v>73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N96" s="4" t="s">
        <v>20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40" ht="15" customHeight="1" x14ac:dyDescent="0.25">
      <c r="A97" s="123" t="s">
        <v>74</v>
      </c>
      <c r="B97" s="123"/>
      <c r="C97" s="123"/>
      <c r="D97" s="123"/>
      <c r="E97" s="50" t="s">
        <v>75</v>
      </c>
      <c r="F97" s="50"/>
      <c r="G97" s="50"/>
      <c r="H97" s="50"/>
      <c r="I97" s="50" t="s">
        <v>76</v>
      </c>
      <c r="J97" s="50"/>
      <c r="K97" s="50"/>
      <c r="L97" s="50"/>
      <c r="M97" s="9"/>
      <c r="N97" s="124" t="s">
        <v>77</v>
      </c>
      <c r="O97" s="125"/>
      <c r="P97" s="125"/>
      <c r="Q97" s="125"/>
      <c r="R97" s="125"/>
      <c r="S97" s="126"/>
      <c r="T97" s="50" t="s">
        <v>21</v>
      </c>
      <c r="U97" s="50"/>
      <c r="V97" s="50" t="s">
        <v>22</v>
      </c>
      <c r="W97" s="50"/>
      <c r="X97" s="50"/>
      <c r="Y97" s="50"/>
      <c r="Z97" s="50"/>
      <c r="AA97" s="50" t="s">
        <v>23</v>
      </c>
      <c r="AB97" s="50"/>
      <c r="AC97" s="50"/>
      <c r="AD97" s="10"/>
      <c r="AE97" s="3"/>
      <c r="AG97" s="9"/>
      <c r="AH97" s="9"/>
      <c r="AI97" s="9"/>
      <c r="AJ97" s="9"/>
    </row>
    <row r="98" spans="1:40" ht="51" customHeight="1" x14ac:dyDescent="0.25">
      <c r="A98" s="123"/>
      <c r="B98" s="123"/>
      <c r="C98" s="123"/>
      <c r="D98" s="123"/>
      <c r="E98" s="50"/>
      <c r="F98" s="50"/>
      <c r="G98" s="50"/>
      <c r="H98" s="50"/>
      <c r="I98" s="50"/>
      <c r="J98" s="50"/>
      <c r="K98" s="50"/>
      <c r="L98" s="50"/>
      <c r="M98" s="20"/>
      <c r="N98" s="101"/>
      <c r="O98" s="102"/>
      <c r="P98" s="102"/>
      <c r="Q98" s="102"/>
      <c r="R98" s="102"/>
      <c r="S98" s="127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10"/>
      <c r="AE98" s="3"/>
      <c r="AG98" s="21"/>
      <c r="AH98" s="21"/>
      <c r="AI98" s="21"/>
      <c r="AJ98" s="9"/>
    </row>
    <row r="99" spans="1:40" ht="48.75" customHeight="1" x14ac:dyDescent="0.25">
      <c r="A99" s="50" t="s">
        <v>78</v>
      </c>
      <c r="B99" s="50"/>
      <c r="C99" s="52" t="s">
        <v>79</v>
      </c>
      <c r="D99" s="116"/>
      <c r="E99" s="50" t="s">
        <v>78</v>
      </c>
      <c r="F99" s="50"/>
      <c r="G99" s="50" t="s">
        <v>79</v>
      </c>
      <c r="H99" s="50"/>
      <c r="I99" s="117" t="s">
        <v>80</v>
      </c>
      <c r="J99" s="117"/>
      <c r="K99" s="50" t="s">
        <v>81</v>
      </c>
      <c r="L99" s="50"/>
      <c r="M99" s="20"/>
      <c r="N99" s="118" t="s">
        <v>82</v>
      </c>
      <c r="O99" s="119"/>
      <c r="P99" s="120"/>
      <c r="Q99" s="121" t="s">
        <v>83</v>
      </c>
      <c r="R99" s="122"/>
      <c r="S99" s="122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10"/>
      <c r="AE99" s="22"/>
      <c r="AG99" s="21"/>
      <c r="AH99" s="21"/>
      <c r="AI99" s="21"/>
      <c r="AJ99" s="9"/>
    </row>
    <row r="100" spans="1:40" ht="21.75" customHeight="1" x14ac:dyDescent="0.25">
      <c r="A100" s="56">
        <v>0</v>
      </c>
      <c r="B100" s="56"/>
      <c r="C100" s="139">
        <v>364</v>
      </c>
      <c r="D100" s="140"/>
      <c r="E100" s="134">
        <v>0</v>
      </c>
      <c r="F100" s="134"/>
      <c r="G100" s="134">
        <v>29</v>
      </c>
      <c r="H100" s="134"/>
      <c r="I100" s="134">
        <v>0</v>
      </c>
      <c r="J100" s="134"/>
      <c r="K100" s="134">
        <v>0</v>
      </c>
      <c r="L100" s="134"/>
      <c r="M100" s="20"/>
      <c r="N100" s="100">
        <v>51</v>
      </c>
      <c r="O100" s="100"/>
      <c r="P100" s="100"/>
      <c r="Q100" s="101">
        <v>50</v>
      </c>
      <c r="R100" s="102"/>
      <c r="S100" s="102"/>
      <c r="T100" s="103">
        <v>1</v>
      </c>
      <c r="U100" s="103"/>
      <c r="V100" s="103">
        <v>1</v>
      </c>
      <c r="W100" s="103"/>
      <c r="X100" s="103"/>
      <c r="Y100" s="103"/>
      <c r="Z100" s="103"/>
      <c r="AA100" s="104">
        <v>1</v>
      </c>
      <c r="AB100" s="104"/>
      <c r="AC100" s="104"/>
      <c r="AD100" s="22"/>
      <c r="AE100" s="23"/>
      <c r="AG100" s="9"/>
      <c r="AH100" s="9"/>
      <c r="AI100" s="9"/>
      <c r="AJ100" s="9"/>
    </row>
    <row r="101" spans="1:40" ht="6" customHeight="1" x14ac:dyDescent="0.25">
      <c r="L101" s="24"/>
      <c r="AG101" s="9"/>
      <c r="AH101" s="9"/>
      <c r="AI101" s="9"/>
      <c r="AJ101" s="9"/>
    </row>
    <row r="102" spans="1:40" ht="15.75" x14ac:dyDescent="0.25">
      <c r="A102" s="4" t="s">
        <v>24</v>
      </c>
      <c r="B102" s="19"/>
      <c r="C102" s="19"/>
      <c r="D102" s="19"/>
      <c r="E102" s="19"/>
      <c r="M102" s="19"/>
      <c r="N102" s="4" t="s">
        <v>25</v>
      </c>
      <c r="O102" s="19"/>
      <c r="AG102" s="9"/>
      <c r="AH102" s="9"/>
      <c r="AI102" s="9"/>
      <c r="AJ102" s="9"/>
    </row>
    <row r="103" spans="1:40" ht="15" customHeight="1" x14ac:dyDescent="0.25">
      <c r="A103" s="50" t="s">
        <v>26</v>
      </c>
      <c r="B103" s="50"/>
      <c r="C103" s="50"/>
      <c r="D103" s="50"/>
      <c r="E103" s="50"/>
      <c r="F103" s="105" t="s">
        <v>27</v>
      </c>
      <c r="G103" s="106"/>
      <c r="H103" s="106"/>
      <c r="I103" s="106"/>
      <c r="J103" s="106"/>
      <c r="K103" s="106"/>
      <c r="L103" s="107"/>
      <c r="M103" s="24"/>
      <c r="N103" s="50" t="s">
        <v>84</v>
      </c>
      <c r="O103" s="50"/>
      <c r="P103" s="50"/>
      <c r="Q103" s="50"/>
      <c r="R103" s="105" t="s">
        <v>28</v>
      </c>
      <c r="S103" s="106"/>
      <c r="T103" s="106"/>
      <c r="U103" s="107"/>
      <c r="V103" s="50" t="s">
        <v>29</v>
      </c>
      <c r="W103" s="50"/>
      <c r="X103" s="50"/>
      <c r="Y103" s="50"/>
      <c r="Z103" s="50"/>
      <c r="AA103" s="106" t="s">
        <v>85</v>
      </c>
      <c r="AB103" s="106"/>
      <c r="AC103" s="107"/>
    </row>
    <row r="104" spans="1:40" x14ac:dyDescent="0.25">
      <c r="A104" s="50"/>
      <c r="B104" s="50"/>
      <c r="C104" s="50"/>
      <c r="D104" s="50"/>
      <c r="E104" s="50"/>
      <c r="F104" s="108"/>
      <c r="G104" s="109"/>
      <c r="H104" s="109"/>
      <c r="I104" s="109"/>
      <c r="J104" s="109"/>
      <c r="K104" s="109"/>
      <c r="L104" s="110"/>
      <c r="M104" s="24"/>
      <c r="N104" s="50"/>
      <c r="O104" s="50"/>
      <c r="P104" s="50"/>
      <c r="Q104" s="50"/>
      <c r="R104" s="108"/>
      <c r="S104" s="109"/>
      <c r="T104" s="109"/>
      <c r="U104" s="110"/>
      <c r="V104" s="50"/>
      <c r="W104" s="50"/>
      <c r="X104" s="50"/>
      <c r="Y104" s="50"/>
      <c r="Z104" s="50"/>
      <c r="AA104" s="109"/>
      <c r="AB104" s="109"/>
      <c r="AC104" s="110"/>
    </row>
    <row r="105" spans="1:40" x14ac:dyDescent="0.25">
      <c r="A105" s="50"/>
      <c r="B105" s="50"/>
      <c r="C105" s="50"/>
      <c r="D105" s="50"/>
      <c r="E105" s="50"/>
      <c r="F105" s="111"/>
      <c r="G105" s="112"/>
      <c r="H105" s="112"/>
      <c r="I105" s="112"/>
      <c r="J105" s="112"/>
      <c r="K105" s="112"/>
      <c r="L105" s="113"/>
      <c r="M105" s="24"/>
      <c r="N105" s="50"/>
      <c r="O105" s="50"/>
      <c r="P105" s="50"/>
      <c r="Q105" s="50"/>
      <c r="R105" s="111"/>
      <c r="S105" s="112"/>
      <c r="T105" s="112"/>
      <c r="U105" s="113"/>
      <c r="V105" s="50"/>
      <c r="W105" s="50"/>
      <c r="X105" s="50"/>
      <c r="Y105" s="50"/>
      <c r="Z105" s="50"/>
      <c r="AA105" s="112"/>
      <c r="AB105" s="112"/>
      <c r="AC105" s="113"/>
    </row>
    <row r="106" spans="1:40" ht="21.75" customHeight="1" x14ac:dyDescent="0.25">
      <c r="A106" s="50">
        <v>32</v>
      </c>
      <c r="B106" s="50"/>
      <c r="C106" s="50"/>
      <c r="D106" s="50"/>
      <c r="E106" s="50"/>
      <c r="F106" s="111">
        <v>3</v>
      </c>
      <c r="G106" s="112"/>
      <c r="H106" s="112"/>
      <c r="I106" s="112"/>
      <c r="J106" s="112"/>
      <c r="K106" s="112"/>
      <c r="L106" s="113"/>
      <c r="M106" s="24"/>
      <c r="N106" s="50">
        <v>5</v>
      </c>
      <c r="O106" s="50"/>
      <c r="P106" s="50"/>
      <c r="Q106" s="50"/>
      <c r="R106" s="111">
        <v>23</v>
      </c>
      <c r="S106" s="112"/>
      <c r="T106" s="112"/>
      <c r="U106" s="113"/>
      <c r="V106" s="50">
        <v>78</v>
      </c>
      <c r="W106" s="50"/>
      <c r="X106" s="50"/>
      <c r="Y106" s="50"/>
      <c r="Z106" s="50"/>
      <c r="AA106" s="112">
        <v>2</v>
      </c>
      <c r="AB106" s="112"/>
      <c r="AC106" s="113"/>
    </row>
    <row r="107" spans="1:40" x14ac:dyDescent="0.25">
      <c r="A107" s="16"/>
      <c r="B107" s="16" t="s">
        <v>86</v>
      </c>
      <c r="C107" s="7" t="s">
        <v>87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40" x14ac:dyDescent="0.25">
      <c r="A108" s="16"/>
      <c r="B108" s="16" t="s">
        <v>12</v>
      </c>
      <c r="C108" s="7" t="s">
        <v>88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40" x14ac:dyDescent="0.25">
      <c r="A109" s="128"/>
      <c r="B109" s="16" t="s">
        <v>13</v>
      </c>
      <c r="C109" s="7" t="s">
        <v>89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40" ht="15" customHeight="1" x14ac:dyDescent="0.25">
      <c r="A110" s="128"/>
      <c r="B110" s="128" t="s">
        <v>14</v>
      </c>
      <c r="C110" s="137" t="s">
        <v>90</v>
      </c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27"/>
      <c r="AN110" s="15">
        <f ca="1">AN110:AO110</f>
        <v>0</v>
      </c>
    </row>
    <row r="111" spans="1:40" x14ac:dyDescent="0.25">
      <c r="B111" s="128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27"/>
    </row>
    <row r="112" spans="1:40" ht="12.75" customHeight="1" x14ac:dyDescent="0.25">
      <c r="M112" s="129" t="s">
        <v>19</v>
      </c>
      <c r="N112" s="129"/>
      <c r="O112" s="129"/>
      <c r="P112" s="129"/>
      <c r="Q112" s="129"/>
      <c r="R112" s="129"/>
      <c r="S112" s="11"/>
    </row>
    <row r="113" spans="1:29" x14ac:dyDescent="0.25">
      <c r="L113" s="12"/>
      <c r="M113" s="12"/>
      <c r="N113" s="12"/>
      <c r="O113" s="12"/>
      <c r="P113" s="13"/>
      <c r="R113" s="11"/>
      <c r="S113" s="11"/>
    </row>
    <row r="114" spans="1:29" x14ac:dyDescent="0.25">
      <c r="L114" s="9"/>
      <c r="R114" s="25"/>
      <c r="S114" s="25"/>
      <c r="T114" s="9"/>
      <c r="U114" s="9"/>
      <c r="V114" s="9"/>
      <c r="W114" s="9"/>
      <c r="X114" s="9"/>
      <c r="Y114" s="9"/>
      <c r="Z114" s="9"/>
    </row>
    <row r="115" spans="1:29" ht="15.75" x14ac:dyDescent="0.25">
      <c r="L115" s="25"/>
      <c r="M115" s="130" t="s">
        <v>97</v>
      </c>
      <c r="N115" s="130"/>
      <c r="O115" s="130"/>
      <c r="P115" s="130"/>
      <c r="Q115" s="130"/>
      <c r="R115" s="130"/>
      <c r="S115" s="32"/>
      <c r="T115" s="32"/>
      <c r="U115" s="32"/>
      <c r="V115" s="32"/>
      <c r="W115" s="9"/>
      <c r="X115" s="9"/>
      <c r="Y115" s="9"/>
      <c r="Z115" s="9"/>
    </row>
    <row r="116" spans="1:29" ht="15.75" x14ac:dyDescent="0.25">
      <c r="L116" s="25"/>
      <c r="M116" s="131" t="s">
        <v>98</v>
      </c>
      <c r="N116" s="131"/>
      <c r="O116" s="131"/>
      <c r="P116" s="131"/>
      <c r="Q116" s="131"/>
      <c r="R116" s="131"/>
      <c r="S116" s="33"/>
      <c r="T116" s="33"/>
      <c r="U116" s="33"/>
      <c r="V116" s="33"/>
      <c r="W116" s="9"/>
      <c r="X116" s="9"/>
      <c r="Y116" s="9"/>
      <c r="Z116" s="9"/>
    </row>
    <row r="118" spans="1:29" ht="12.75" customHeight="1" x14ac:dyDescent="0.25"/>
    <row r="119" spans="1:29" ht="12.75" customHeight="1" x14ac:dyDescent="0.25"/>
    <row r="120" spans="1:29" ht="12.75" customHeight="1" x14ac:dyDescent="0.25">
      <c r="A120" s="34" t="s">
        <v>41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</row>
    <row r="121" spans="1:29" ht="12" customHeight="1" x14ac:dyDescent="0.25">
      <c r="A121" s="35" t="s">
        <v>30</v>
      </c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 spans="1:29" ht="12" customHeight="1" x14ac:dyDescent="0.25">
      <c r="A122" s="35" t="s">
        <v>46</v>
      </c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 spans="1:29" ht="12" customHeight="1" x14ac:dyDescent="0.25">
      <c r="A123" s="36" t="s">
        <v>62</v>
      </c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</row>
    <row r="124" spans="1:29" ht="12" customHeight="1" x14ac:dyDescent="0.25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5">
      <c r="A125" s="37" t="s">
        <v>63</v>
      </c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 spans="1:29" ht="6" customHeight="1" x14ac:dyDescent="0.25"/>
    <row r="127" spans="1:29" ht="12.75" customHeight="1" x14ac:dyDescent="0.25">
      <c r="A127" s="38" t="s">
        <v>64</v>
      </c>
      <c r="B127" s="39"/>
      <c r="C127" s="39"/>
      <c r="D127" s="39"/>
      <c r="E127" s="39"/>
      <c r="F127" s="39"/>
      <c r="G127" s="39"/>
      <c r="H127" s="40"/>
      <c r="I127" s="38" t="s">
        <v>65</v>
      </c>
      <c r="J127" s="39"/>
      <c r="K127" s="39"/>
      <c r="L127" s="39"/>
      <c r="M127" s="39"/>
      <c r="N127" s="39"/>
      <c r="O127" s="39"/>
      <c r="P127" s="39"/>
      <c r="Q127" s="40"/>
      <c r="R127" s="38" t="s">
        <v>18</v>
      </c>
      <c r="S127" s="39"/>
      <c r="T127" s="39"/>
      <c r="U127" s="40"/>
      <c r="V127" s="41" t="s">
        <v>66</v>
      </c>
      <c r="W127" s="42"/>
      <c r="X127" s="42"/>
      <c r="Y127" s="42"/>
      <c r="Z127" s="42"/>
      <c r="AA127" s="42"/>
      <c r="AB127" s="42"/>
      <c r="AC127" s="43"/>
    </row>
    <row r="128" spans="1:29" ht="12.75" customHeight="1" x14ac:dyDescent="0.25">
      <c r="A128" s="47" t="s">
        <v>40</v>
      </c>
      <c r="B128" s="48"/>
      <c r="C128" s="48"/>
      <c r="D128" s="48"/>
      <c r="E128" s="48"/>
      <c r="F128" s="48"/>
      <c r="G128" s="48"/>
      <c r="H128" s="49"/>
      <c r="I128" s="47" t="s">
        <v>61</v>
      </c>
      <c r="J128" s="48"/>
      <c r="K128" s="48"/>
      <c r="L128" s="48"/>
      <c r="M128" s="48"/>
      <c r="N128" s="48"/>
      <c r="O128" s="48"/>
      <c r="P128" s="48"/>
      <c r="Q128" s="49"/>
      <c r="R128" s="58">
        <v>2025</v>
      </c>
      <c r="S128" s="59"/>
      <c r="T128" s="59"/>
      <c r="U128" s="60"/>
      <c r="V128" s="44"/>
      <c r="W128" s="45"/>
      <c r="X128" s="45"/>
      <c r="Y128" s="45"/>
      <c r="Z128" s="45"/>
      <c r="AA128" s="45"/>
      <c r="AB128" s="45"/>
      <c r="AC128" s="46"/>
    </row>
    <row r="129" spans="1:29" ht="12.75" customHeight="1" x14ac:dyDescent="0.25">
      <c r="A129" s="61" t="s">
        <v>67</v>
      </c>
      <c r="B129" s="62"/>
      <c r="C129" s="62"/>
      <c r="D129" s="62"/>
      <c r="E129" s="62"/>
      <c r="F129" s="62"/>
      <c r="G129" s="62"/>
      <c r="H129" s="63"/>
      <c r="I129" s="38" t="s">
        <v>68</v>
      </c>
      <c r="J129" s="39"/>
      <c r="K129" s="39"/>
      <c r="L129" s="39"/>
      <c r="M129" s="39"/>
      <c r="N129" s="39"/>
      <c r="O129" s="39"/>
      <c r="P129" s="39"/>
      <c r="Q129" s="40"/>
      <c r="R129" s="64" t="s">
        <v>47</v>
      </c>
      <c r="S129" s="39"/>
      <c r="T129" s="39"/>
      <c r="U129" s="40"/>
      <c r="V129" s="65"/>
      <c r="W129" s="66"/>
      <c r="X129" s="66"/>
      <c r="Y129" s="66"/>
      <c r="Z129" s="66"/>
      <c r="AA129" s="66"/>
      <c r="AB129" s="66"/>
      <c r="AC129" s="67"/>
    </row>
    <row r="130" spans="1:29" ht="12.75" customHeight="1" x14ac:dyDescent="0.25">
      <c r="A130" s="71" t="s">
        <v>61</v>
      </c>
      <c r="B130" s="72"/>
      <c r="C130" s="72"/>
      <c r="D130" s="72"/>
      <c r="E130" s="72"/>
      <c r="F130" s="72"/>
      <c r="G130" s="72"/>
      <c r="H130" s="73"/>
      <c r="I130" s="77" t="s">
        <v>60</v>
      </c>
      <c r="J130" s="78"/>
      <c r="K130" s="78"/>
      <c r="L130" s="78"/>
      <c r="M130" s="78"/>
      <c r="N130" s="78"/>
      <c r="O130" s="78"/>
      <c r="P130" s="78"/>
      <c r="Q130" s="79"/>
      <c r="R130" s="83" t="s">
        <v>51</v>
      </c>
      <c r="S130" s="84"/>
      <c r="T130" s="84"/>
      <c r="U130" s="85"/>
      <c r="V130" s="65"/>
      <c r="W130" s="66"/>
      <c r="X130" s="66"/>
      <c r="Y130" s="66"/>
      <c r="Z130" s="66"/>
      <c r="AA130" s="66"/>
      <c r="AB130" s="66"/>
      <c r="AC130" s="67"/>
    </row>
    <row r="131" spans="1:29" ht="6.75" customHeight="1" x14ac:dyDescent="0.25">
      <c r="A131" s="74"/>
      <c r="B131" s="75"/>
      <c r="C131" s="75"/>
      <c r="D131" s="75"/>
      <c r="E131" s="75"/>
      <c r="F131" s="75"/>
      <c r="G131" s="75"/>
      <c r="H131" s="76"/>
      <c r="I131" s="80"/>
      <c r="J131" s="81"/>
      <c r="K131" s="81"/>
      <c r="L131" s="81"/>
      <c r="M131" s="81"/>
      <c r="N131" s="81"/>
      <c r="O131" s="81"/>
      <c r="P131" s="81"/>
      <c r="Q131" s="82"/>
      <c r="R131" s="86"/>
      <c r="S131" s="87"/>
      <c r="T131" s="87"/>
      <c r="U131" s="88"/>
      <c r="V131" s="68"/>
      <c r="W131" s="69"/>
      <c r="X131" s="69"/>
      <c r="Y131" s="69"/>
      <c r="Z131" s="69"/>
      <c r="AA131" s="69"/>
      <c r="AB131" s="69"/>
      <c r="AC131" s="70"/>
    </row>
    <row r="132" spans="1:29" ht="10.5" customHeight="1" x14ac:dyDescent="0.25"/>
    <row r="133" spans="1:29" ht="12" customHeight="1" x14ac:dyDescent="0.25">
      <c r="A133" s="4" t="s">
        <v>31</v>
      </c>
    </row>
    <row r="134" spans="1:29" ht="12.75" customHeight="1" x14ac:dyDescent="0.25">
      <c r="L134" s="50" t="s">
        <v>15</v>
      </c>
      <c r="M134" s="50"/>
      <c r="N134" s="50"/>
      <c r="O134" s="51" t="s">
        <v>16</v>
      </c>
      <c r="P134" s="51"/>
      <c r="Q134" s="51"/>
      <c r="R134" s="50" t="s">
        <v>32</v>
      </c>
      <c r="S134" s="50"/>
      <c r="T134" s="50"/>
      <c r="U134" s="52"/>
      <c r="V134" s="51" t="s">
        <v>33</v>
      </c>
      <c r="W134" s="51"/>
      <c r="X134" s="51"/>
      <c r="Y134" s="51"/>
      <c r="Z134" s="51"/>
      <c r="AA134" s="51" t="s">
        <v>0</v>
      </c>
      <c r="AB134" s="51"/>
      <c r="AC134" s="51"/>
    </row>
    <row r="135" spans="1:29" ht="12.75" customHeight="1" x14ac:dyDescent="0.25">
      <c r="L135" s="50"/>
      <c r="M135" s="50"/>
      <c r="N135" s="50"/>
      <c r="O135" s="51"/>
      <c r="P135" s="51"/>
      <c r="Q135" s="51"/>
      <c r="R135" s="50"/>
      <c r="S135" s="50"/>
      <c r="T135" s="50"/>
      <c r="U135" s="52"/>
      <c r="V135" s="51"/>
      <c r="W135" s="51"/>
      <c r="X135" s="51"/>
      <c r="Y135" s="51"/>
      <c r="Z135" s="51"/>
      <c r="AA135" s="51"/>
      <c r="AB135" s="51"/>
      <c r="AC135" s="51"/>
    </row>
    <row r="136" spans="1:29" ht="20.25" customHeight="1" x14ac:dyDescent="0.3">
      <c r="A136" s="53" t="s">
        <v>69</v>
      </c>
      <c r="B136" s="54"/>
      <c r="C136" s="54"/>
      <c r="D136" s="54"/>
      <c r="E136" s="54"/>
      <c r="F136" s="54"/>
      <c r="G136" s="54"/>
      <c r="H136" s="54"/>
      <c r="I136" s="54"/>
      <c r="J136" s="54"/>
      <c r="K136" s="55"/>
      <c r="L136" s="56">
        <v>18</v>
      </c>
      <c r="M136" s="56"/>
      <c r="N136" s="56"/>
      <c r="O136" s="56">
        <v>2</v>
      </c>
      <c r="P136" s="56"/>
      <c r="Q136" s="56"/>
      <c r="R136" s="56">
        <v>0</v>
      </c>
      <c r="S136" s="56"/>
      <c r="T136" s="56"/>
      <c r="U136" s="57"/>
      <c r="V136" s="56">
        <v>0</v>
      </c>
      <c r="W136" s="56"/>
      <c r="X136" s="56"/>
      <c r="Y136" s="56"/>
      <c r="Z136" s="56"/>
      <c r="AA136" s="89">
        <f>V136+R136+O136+L136</f>
        <v>20</v>
      </c>
      <c r="AB136" s="89"/>
      <c r="AC136" s="89"/>
    </row>
    <row r="137" spans="1:29" ht="20.25" customHeight="1" x14ac:dyDescent="0.3">
      <c r="A137" s="53" t="s">
        <v>34</v>
      </c>
      <c r="B137" s="54"/>
      <c r="C137" s="54"/>
      <c r="D137" s="54"/>
      <c r="E137" s="54"/>
      <c r="F137" s="54"/>
      <c r="G137" s="54"/>
      <c r="H137" s="54"/>
      <c r="I137" s="54"/>
      <c r="J137" s="54"/>
      <c r="K137" s="55"/>
      <c r="L137" s="56">
        <v>14</v>
      </c>
      <c r="M137" s="56"/>
      <c r="N137" s="56"/>
      <c r="O137" s="56">
        <v>0</v>
      </c>
      <c r="P137" s="56"/>
      <c r="Q137" s="56"/>
      <c r="R137" s="56">
        <v>0</v>
      </c>
      <c r="S137" s="56"/>
      <c r="T137" s="56"/>
      <c r="U137" s="57"/>
      <c r="V137" s="56">
        <v>1</v>
      </c>
      <c r="W137" s="56"/>
      <c r="X137" s="56"/>
      <c r="Y137" s="56"/>
      <c r="Z137" s="56"/>
      <c r="AA137" s="89">
        <f>V137+R137+O137+L137</f>
        <v>15</v>
      </c>
      <c r="AB137" s="89"/>
      <c r="AC137" s="89"/>
    </row>
    <row r="138" spans="1:29" ht="20.25" customHeight="1" x14ac:dyDescent="0.3">
      <c r="A138" s="53" t="s">
        <v>70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5"/>
      <c r="L138" s="56">
        <v>0</v>
      </c>
      <c r="M138" s="56"/>
      <c r="N138" s="56"/>
      <c r="O138" s="56">
        <v>0</v>
      </c>
      <c r="P138" s="56"/>
      <c r="Q138" s="56"/>
      <c r="R138" s="56">
        <v>0</v>
      </c>
      <c r="S138" s="56"/>
      <c r="T138" s="56"/>
      <c r="U138" s="57"/>
      <c r="V138" s="56">
        <v>0</v>
      </c>
      <c r="W138" s="56"/>
      <c r="X138" s="56"/>
      <c r="Y138" s="56"/>
      <c r="Z138" s="56"/>
      <c r="AA138" s="89">
        <f>V138+R138+O138+L138</f>
        <v>0</v>
      </c>
      <c r="AB138" s="89"/>
      <c r="AC138" s="89"/>
    </row>
    <row r="139" spans="1:29" ht="21" customHeight="1" x14ac:dyDescent="0.3">
      <c r="A139" s="53" t="s">
        <v>35</v>
      </c>
      <c r="B139" s="54"/>
      <c r="C139" s="54"/>
      <c r="D139" s="54"/>
      <c r="E139" s="54"/>
      <c r="F139" s="54"/>
      <c r="G139" s="54"/>
      <c r="H139" s="54"/>
      <c r="I139" s="54"/>
      <c r="J139" s="54"/>
      <c r="K139" s="55"/>
      <c r="L139" s="56">
        <v>0</v>
      </c>
      <c r="M139" s="56"/>
      <c r="N139" s="56"/>
      <c r="O139" s="56">
        <v>0</v>
      </c>
      <c r="P139" s="56"/>
      <c r="Q139" s="56"/>
      <c r="R139" s="56">
        <v>0</v>
      </c>
      <c r="S139" s="56"/>
      <c r="T139" s="56"/>
      <c r="U139" s="57"/>
      <c r="V139" s="56">
        <v>0</v>
      </c>
      <c r="W139" s="56"/>
      <c r="X139" s="56"/>
      <c r="Y139" s="56"/>
      <c r="Z139" s="56"/>
      <c r="AA139" s="89">
        <f>V139+R139+O139+L139</f>
        <v>0</v>
      </c>
      <c r="AB139" s="89"/>
      <c r="AC139" s="89"/>
    </row>
    <row r="140" spans="1:29" ht="4.5" customHeight="1" x14ac:dyDescent="0.25"/>
    <row r="141" spans="1:29" ht="12.75" customHeight="1" x14ac:dyDescent="0.25">
      <c r="A141" s="95" t="s">
        <v>36</v>
      </c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</row>
    <row r="142" spans="1:29" ht="12.75" customHeight="1" x14ac:dyDescent="0.25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</row>
    <row r="143" spans="1:29" ht="0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7.25" customHeight="1" x14ac:dyDescent="0.25">
      <c r="J144" s="96" t="s">
        <v>9</v>
      </c>
      <c r="K144" s="97"/>
      <c r="L144" s="98" t="s">
        <v>10</v>
      </c>
      <c r="M144" s="94"/>
      <c r="N144" s="94" t="s">
        <v>3</v>
      </c>
      <c r="O144" s="94"/>
      <c r="P144" s="94" t="s">
        <v>4</v>
      </c>
      <c r="Q144" s="94"/>
      <c r="R144" s="94" t="s">
        <v>5</v>
      </c>
      <c r="S144" s="94"/>
      <c r="T144" s="94" t="s">
        <v>6</v>
      </c>
      <c r="U144" s="94"/>
      <c r="V144" s="94" t="s">
        <v>7</v>
      </c>
      <c r="W144" s="94"/>
      <c r="X144" s="94" t="s">
        <v>11</v>
      </c>
      <c r="Y144" s="94"/>
      <c r="Z144" s="99" t="s">
        <v>49</v>
      </c>
      <c r="AA144" s="99"/>
      <c r="AB144" s="94" t="s">
        <v>0</v>
      </c>
      <c r="AC144" s="94"/>
    </row>
    <row r="145" spans="1:36" ht="17.25" customHeight="1" x14ac:dyDescent="0.25">
      <c r="J145" s="2" t="s">
        <v>1</v>
      </c>
      <c r="K145" s="2" t="s">
        <v>2</v>
      </c>
      <c r="L145" s="2" t="s">
        <v>1</v>
      </c>
      <c r="M145" s="2" t="s">
        <v>2</v>
      </c>
      <c r="N145" s="2" t="s">
        <v>1</v>
      </c>
      <c r="O145" s="2" t="s">
        <v>2</v>
      </c>
      <c r="P145" s="2" t="s">
        <v>1</v>
      </c>
      <c r="Q145" s="2" t="s">
        <v>2</v>
      </c>
      <c r="R145" s="2" t="s">
        <v>1</v>
      </c>
      <c r="S145" s="2" t="s">
        <v>2</v>
      </c>
      <c r="T145" s="2" t="s">
        <v>1</v>
      </c>
      <c r="U145" s="2" t="s">
        <v>2</v>
      </c>
      <c r="V145" s="2" t="s">
        <v>1</v>
      </c>
      <c r="W145" s="2" t="s">
        <v>2</v>
      </c>
      <c r="X145" s="2" t="s">
        <v>1</v>
      </c>
      <c r="Y145" s="2" t="s">
        <v>2</v>
      </c>
      <c r="Z145" s="17" t="s">
        <v>1</v>
      </c>
      <c r="AA145" s="17" t="s">
        <v>2</v>
      </c>
      <c r="AB145" s="94"/>
      <c r="AC145" s="94"/>
    </row>
    <row r="146" spans="1:36" ht="18.75" customHeight="1" x14ac:dyDescent="0.25">
      <c r="A146" s="90" t="s">
        <v>71</v>
      </c>
      <c r="B146" s="91"/>
      <c r="C146" s="91"/>
      <c r="D146" s="91"/>
      <c r="E146" s="91"/>
      <c r="F146" s="91"/>
      <c r="G146" s="91"/>
      <c r="H146" s="91"/>
      <c r="I146" s="92"/>
      <c r="J146" s="14">
        <v>0</v>
      </c>
      <c r="K146" s="14">
        <v>0</v>
      </c>
      <c r="L146" s="14">
        <v>0</v>
      </c>
      <c r="M146" s="14">
        <v>0</v>
      </c>
      <c r="N146" s="14">
        <v>4</v>
      </c>
      <c r="O146" s="14">
        <v>1</v>
      </c>
      <c r="P146" s="14">
        <v>6</v>
      </c>
      <c r="Q146" s="14">
        <v>1</v>
      </c>
      <c r="R146" s="14">
        <v>0</v>
      </c>
      <c r="S146" s="14">
        <v>1</v>
      </c>
      <c r="T146" s="14">
        <v>1</v>
      </c>
      <c r="U146" s="14">
        <v>0</v>
      </c>
      <c r="V146" s="14">
        <v>2</v>
      </c>
      <c r="W146" s="14">
        <v>2</v>
      </c>
      <c r="X146" s="14">
        <v>1</v>
      </c>
      <c r="Y146" s="14">
        <v>1</v>
      </c>
      <c r="Z146" s="18">
        <f>X146+V146+T146+R146+P146+N146+L146+J146</f>
        <v>14</v>
      </c>
      <c r="AA146" s="18">
        <f>Y146+W146+U146+S146+Q146+O146+M146+K146</f>
        <v>6</v>
      </c>
      <c r="AB146" s="93">
        <f t="shared" ref="AB146:AB151" si="4">AA146+Z146</f>
        <v>20</v>
      </c>
      <c r="AC146" s="93"/>
    </row>
    <row r="147" spans="1:36" ht="18.75" customHeight="1" x14ac:dyDescent="0.25">
      <c r="A147" s="53" t="s">
        <v>37</v>
      </c>
      <c r="B147" s="54"/>
      <c r="C147" s="54"/>
      <c r="D147" s="54"/>
      <c r="E147" s="54"/>
      <c r="F147" s="54"/>
      <c r="G147" s="54"/>
      <c r="H147" s="54"/>
      <c r="I147" s="55"/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2</v>
      </c>
      <c r="P147" s="29">
        <v>1</v>
      </c>
      <c r="Q147" s="29">
        <v>1</v>
      </c>
      <c r="R147" s="29">
        <v>1</v>
      </c>
      <c r="S147" s="29">
        <v>0</v>
      </c>
      <c r="T147" s="29">
        <v>1</v>
      </c>
      <c r="U147" s="29">
        <v>2</v>
      </c>
      <c r="V147" s="29">
        <v>0</v>
      </c>
      <c r="W147" s="29">
        <v>2</v>
      </c>
      <c r="X147" s="29">
        <v>2</v>
      </c>
      <c r="Y147" s="29">
        <v>2</v>
      </c>
      <c r="Z147" s="18">
        <f t="shared" ref="Z147:AA151" si="5">X147+V147+T147+R147+P147+N147+L147+J147</f>
        <v>5</v>
      </c>
      <c r="AA147" s="18">
        <f t="shared" si="5"/>
        <v>9</v>
      </c>
      <c r="AB147" s="93">
        <f t="shared" si="4"/>
        <v>14</v>
      </c>
      <c r="AC147" s="93"/>
    </row>
    <row r="148" spans="1:36" ht="24" customHeight="1" x14ac:dyDescent="0.25">
      <c r="A148" s="90" t="s">
        <v>72</v>
      </c>
      <c r="B148" s="91"/>
      <c r="C148" s="91"/>
      <c r="D148" s="91"/>
      <c r="E148" s="91"/>
      <c r="F148" s="91"/>
      <c r="G148" s="91"/>
      <c r="H148" s="91"/>
      <c r="I148" s="92"/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18">
        <f t="shared" si="5"/>
        <v>0</v>
      </c>
      <c r="AA148" s="18">
        <f t="shared" si="5"/>
        <v>0</v>
      </c>
      <c r="AB148" s="93">
        <f t="shared" si="4"/>
        <v>0</v>
      </c>
      <c r="AC148" s="93"/>
    </row>
    <row r="149" spans="1:36" ht="18.75" customHeight="1" x14ac:dyDescent="0.25">
      <c r="A149" s="90" t="s">
        <v>38</v>
      </c>
      <c r="B149" s="91"/>
      <c r="C149" s="91"/>
      <c r="D149" s="91"/>
      <c r="E149" s="91"/>
      <c r="F149" s="91"/>
      <c r="G149" s="91"/>
      <c r="H149" s="91"/>
      <c r="I149" s="92"/>
      <c r="J149" s="29">
        <v>0</v>
      </c>
      <c r="K149" s="29">
        <v>0</v>
      </c>
      <c r="L149" s="29">
        <v>0</v>
      </c>
      <c r="M149" s="29">
        <v>0</v>
      </c>
      <c r="N149" s="29">
        <v>0</v>
      </c>
      <c r="O149" s="29">
        <v>0</v>
      </c>
      <c r="P149" s="29">
        <v>0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  <c r="Y149" s="29">
        <v>0</v>
      </c>
      <c r="Z149" s="18">
        <f t="shared" si="5"/>
        <v>0</v>
      </c>
      <c r="AA149" s="18">
        <f t="shared" si="5"/>
        <v>0</v>
      </c>
      <c r="AB149" s="93">
        <f t="shared" si="4"/>
        <v>0</v>
      </c>
      <c r="AC149" s="93"/>
    </row>
    <row r="150" spans="1:36" ht="18.75" customHeight="1" x14ac:dyDescent="0.25">
      <c r="A150" s="90" t="s">
        <v>39</v>
      </c>
      <c r="B150" s="91"/>
      <c r="C150" s="91"/>
      <c r="D150" s="91"/>
      <c r="E150" s="91"/>
      <c r="F150" s="91"/>
      <c r="G150" s="91"/>
      <c r="H150" s="91"/>
      <c r="I150" s="92"/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29">
        <v>0</v>
      </c>
      <c r="Q150" s="29">
        <v>0</v>
      </c>
      <c r="R150" s="29">
        <v>0</v>
      </c>
      <c r="S150" s="29">
        <v>0</v>
      </c>
      <c r="T150" s="29">
        <v>0</v>
      </c>
      <c r="U150" s="29">
        <v>0</v>
      </c>
      <c r="V150" s="29">
        <v>0</v>
      </c>
      <c r="W150" s="29">
        <v>0</v>
      </c>
      <c r="X150" s="29">
        <v>0</v>
      </c>
      <c r="Y150" s="29">
        <v>0</v>
      </c>
      <c r="Z150" s="18">
        <f t="shared" si="5"/>
        <v>0</v>
      </c>
      <c r="AA150" s="18">
        <f t="shared" si="5"/>
        <v>0</v>
      </c>
      <c r="AB150" s="93">
        <f t="shared" si="4"/>
        <v>0</v>
      </c>
      <c r="AC150" s="93"/>
    </row>
    <row r="151" spans="1:36" ht="18.75" customHeight="1" x14ac:dyDescent="0.25">
      <c r="A151" s="90" t="s">
        <v>17</v>
      </c>
      <c r="B151" s="91"/>
      <c r="C151" s="91"/>
      <c r="D151" s="91"/>
      <c r="E151" s="91"/>
      <c r="F151" s="91"/>
      <c r="G151" s="91"/>
      <c r="H151" s="91"/>
      <c r="I151" s="92"/>
      <c r="J151" s="29">
        <v>0</v>
      </c>
      <c r="K151" s="29">
        <v>0</v>
      </c>
      <c r="L151" s="29">
        <v>0</v>
      </c>
      <c r="M151" s="29">
        <v>0</v>
      </c>
      <c r="N151" s="29">
        <v>0</v>
      </c>
      <c r="O151" s="29">
        <v>0</v>
      </c>
      <c r="P151" s="29">
        <v>0</v>
      </c>
      <c r="Q151" s="29">
        <v>0</v>
      </c>
      <c r="R151" s="29">
        <v>0</v>
      </c>
      <c r="S151" s="29">
        <v>0</v>
      </c>
      <c r="T151" s="29">
        <v>0</v>
      </c>
      <c r="U151" s="29">
        <v>0</v>
      </c>
      <c r="V151" s="29">
        <v>1</v>
      </c>
      <c r="W151" s="29">
        <v>0</v>
      </c>
      <c r="X151" s="29">
        <v>0</v>
      </c>
      <c r="Y151" s="29">
        <v>0</v>
      </c>
      <c r="Z151" s="18">
        <f t="shared" si="5"/>
        <v>1</v>
      </c>
      <c r="AA151" s="18">
        <f t="shared" si="5"/>
        <v>0</v>
      </c>
      <c r="AB151" s="93">
        <f t="shared" si="4"/>
        <v>1</v>
      </c>
      <c r="AC151" s="93"/>
    </row>
    <row r="152" spans="1:36" ht="9" customHeight="1" x14ac:dyDescent="0.25"/>
    <row r="153" spans="1:36" ht="1.5" hidden="1" customHeight="1" x14ac:dyDescent="0.25"/>
    <row r="154" spans="1:36" ht="15.75" x14ac:dyDescent="0.25">
      <c r="A154" s="4" t="s">
        <v>73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N154" s="4" t="s">
        <v>20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36" ht="15" customHeight="1" x14ac:dyDescent="0.25">
      <c r="A155" s="123" t="s">
        <v>74</v>
      </c>
      <c r="B155" s="123"/>
      <c r="C155" s="123"/>
      <c r="D155" s="123"/>
      <c r="E155" s="50" t="s">
        <v>75</v>
      </c>
      <c r="F155" s="50"/>
      <c r="G155" s="50"/>
      <c r="H155" s="50"/>
      <c r="I155" s="50" t="s">
        <v>76</v>
      </c>
      <c r="J155" s="50"/>
      <c r="K155" s="50"/>
      <c r="L155" s="50"/>
      <c r="M155" s="9"/>
      <c r="N155" s="124" t="s">
        <v>77</v>
      </c>
      <c r="O155" s="125"/>
      <c r="P155" s="125"/>
      <c r="Q155" s="125"/>
      <c r="R155" s="125"/>
      <c r="S155" s="126"/>
      <c r="T155" s="50" t="s">
        <v>21</v>
      </c>
      <c r="U155" s="50"/>
      <c r="V155" s="50" t="s">
        <v>22</v>
      </c>
      <c r="W155" s="50"/>
      <c r="X155" s="50"/>
      <c r="Y155" s="50"/>
      <c r="Z155" s="50"/>
      <c r="AA155" s="50" t="s">
        <v>23</v>
      </c>
      <c r="AB155" s="50"/>
      <c r="AC155" s="50"/>
      <c r="AD155" s="10"/>
      <c r="AE155" s="3"/>
      <c r="AG155" s="9"/>
      <c r="AH155" s="9"/>
      <c r="AI155" s="9"/>
      <c r="AJ155" s="9"/>
    </row>
    <row r="156" spans="1:36" ht="51" customHeight="1" x14ac:dyDescent="0.25">
      <c r="A156" s="123"/>
      <c r="B156" s="123"/>
      <c r="C156" s="123"/>
      <c r="D156" s="123"/>
      <c r="E156" s="50"/>
      <c r="F156" s="50"/>
      <c r="G156" s="50"/>
      <c r="H156" s="50"/>
      <c r="I156" s="50"/>
      <c r="J156" s="50"/>
      <c r="K156" s="50"/>
      <c r="L156" s="50"/>
      <c r="M156" s="20"/>
      <c r="N156" s="101"/>
      <c r="O156" s="102"/>
      <c r="P156" s="102"/>
      <c r="Q156" s="102"/>
      <c r="R156" s="102"/>
      <c r="S156" s="127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10"/>
      <c r="AE156" s="3"/>
      <c r="AG156" s="21"/>
      <c r="AH156" s="21"/>
      <c r="AI156" s="21"/>
      <c r="AJ156" s="9"/>
    </row>
    <row r="157" spans="1:36" ht="48.75" customHeight="1" x14ac:dyDescent="0.25">
      <c r="A157" s="50" t="s">
        <v>78</v>
      </c>
      <c r="B157" s="50"/>
      <c r="C157" s="52" t="s">
        <v>79</v>
      </c>
      <c r="D157" s="116"/>
      <c r="E157" s="50" t="s">
        <v>78</v>
      </c>
      <c r="F157" s="50"/>
      <c r="G157" s="50" t="s">
        <v>79</v>
      </c>
      <c r="H157" s="50"/>
      <c r="I157" s="117" t="s">
        <v>80</v>
      </c>
      <c r="J157" s="117"/>
      <c r="K157" s="50" t="s">
        <v>81</v>
      </c>
      <c r="L157" s="50"/>
      <c r="M157" s="20"/>
      <c r="N157" s="118" t="s">
        <v>82</v>
      </c>
      <c r="O157" s="119"/>
      <c r="P157" s="120"/>
      <c r="Q157" s="121" t="s">
        <v>83</v>
      </c>
      <c r="R157" s="122"/>
      <c r="S157" s="122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10"/>
      <c r="AE157" s="22"/>
      <c r="AG157" s="21"/>
      <c r="AH157" s="21"/>
      <c r="AI157" s="21"/>
      <c r="AJ157" s="9"/>
    </row>
    <row r="158" spans="1:36" ht="21.75" customHeight="1" x14ac:dyDescent="0.25">
      <c r="A158" s="56">
        <v>0</v>
      </c>
      <c r="B158" s="56"/>
      <c r="C158" s="139">
        <v>317</v>
      </c>
      <c r="D158" s="140"/>
      <c r="E158" s="134">
        <v>0</v>
      </c>
      <c r="F158" s="134"/>
      <c r="G158" s="134">
        <v>20</v>
      </c>
      <c r="H158" s="134"/>
      <c r="I158" s="134">
        <v>0</v>
      </c>
      <c r="J158" s="134"/>
      <c r="K158" s="134">
        <v>0</v>
      </c>
      <c r="L158" s="134"/>
      <c r="M158" s="20"/>
      <c r="N158" s="100">
        <v>35</v>
      </c>
      <c r="O158" s="100"/>
      <c r="P158" s="100"/>
      <c r="Q158" s="101">
        <v>31</v>
      </c>
      <c r="R158" s="102"/>
      <c r="S158" s="102"/>
      <c r="T158" s="103">
        <v>3</v>
      </c>
      <c r="U158" s="103"/>
      <c r="V158" s="103">
        <v>3</v>
      </c>
      <c r="W158" s="103"/>
      <c r="X158" s="103"/>
      <c r="Y158" s="103"/>
      <c r="Z158" s="103"/>
      <c r="AA158" s="104">
        <v>3</v>
      </c>
      <c r="AB158" s="104"/>
      <c r="AC158" s="104"/>
      <c r="AD158" s="22"/>
      <c r="AE158" s="23"/>
      <c r="AG158" s="9"/>
      <c r="AH158" s="9"/>
      <c r="AI158" s="9"/>
      <c r="AJ158" s="9"/>
    </row>
    <row r="159" spans="1:36" ht="6" customHeight="1" x14ac:dyDescent="0.25">
      <c r="L159" s="24"/>
      <c r="AG159" s="9"/>
      <c r="AH159" s="9"/>
      <c r="AI159" s="9"/>
      <c r="AJ159" s="9"/>
    </row>
    <row r="160" spans="1:36" ht="15.75" x14ac:dyDescent="0.25">
      <c r="A160" s="4" t="s">
        <v>24</v>
      </c>
      <c r="B160" s="19"/>
      <c r="C160" s="19"/>
      <c r="D160" s="19"/>
      <c r="E160" s="19"/>
      <c r="M160" s="19"/>
      <c r="N160" s="4" t="s">
        <v>25</v>
      </c>
      <c r="O160" s="19"/>
      <c r="AG160" s="9"/>
      <c r="AH160" s="9"/>
      <c r="AI160" s="9"/>
      <c r="AJ160" s="9"/>
    </row>
    <row r="161" spans="1:40" ht="15" customHeight="1" x14ac:dyDescent="0.25">
      <c r="A161" s="50" t="s">
        <v>26</v>
      </c>
      <c r="B161" s="50"/>
      <c r="C161" s="50"/>
      <c r="D161" s="50"/>
      <c r="E161" s="50"/>
      <c r="F161" s="105" t="s">
        <v>27</v>
      </c>
      <c r="G161" s="106"/>
      <c r="H161" s="106"/>
      <c r="I161" s="106"/>
      <c r="J161" s="106"/>
      <c r="K161" s="106"/>
      <c r="L161" s="107"/>
      <c r="M161" s="24"/>
      <c r="N161" s="50" t="s">
        <v>84</v>
      </c>
      <c r="O161" s="50"/>
      <c r="P161" s="50"/>
      <c r="Q161" s="50"/>
      <c r="R161" s="105" t="s">
        <v>28</v>
      </c>
      <c r="S161" s="106"/>
      <c r="T161" s="106"/>
      <c r="U161" s="107"/>
      <c r="V161" s="50" t="s">
        <v>29</v>
      </c>
      <c r="W161" s="50"/>
      <c r="X161" s="50"/>
      <c r="Y161" s="50"/>
      <c r="Z161" s="50"/>
      <c r="AA161" s="106" t="s">
        <v>85</v>
      </c>
      <c r="AB161" s="106"/>
      <c r="AC161" s="107"/>
    </row>
    <row r="162" spans="1:40" x14ac:dyDescent="0.25">
      <c r="A162" s="50"/>
      <c r="B162" s="50"/>
      <c r="C162" s="50"/>
      <c r="D162" s="50"/>
      <c r="E162" s="50"/>
      <c r="F162" s="108"/>
      <c r="G162" s="109"/>
      <c r="H162" s="109"/>
      <c r="I162" s="109"/>
      <c r="J162" s="109"/>
      <c r="K162" s="109"/>
      <c r="L162" s="110"/>
      <c r="M162" s="24"/>
      <c r="N162" s="50"/>
      <c r="O162" s="50"/>
      <c r="P162" s="50"/>
      <c r="Q162" s="50"/>
      <c r="R162" s="108"/>
      <c r="S162" s="109"/>
      <c r="T162" s="109"/>
      <c r="U162" s="110"/>
      <c r="V162" s="50"/>
      <c r="W162" s="50"/>
      <c r="X162" s="50"/>
      <c r="Y162" s="50"/>
      <c r="Z162" s="50"/>
      <c r="AA162" s="109"/>
      <c r="AB162" s="109"/>
      <c r="AC162" s="110"/>
    </row>
    <row r="163" spans="1:40" x14ac:dyDescent="0.25">
      <c r="A163" s="50"/>
      <c r="B163" s="50"/>
      <c r="C163" s="50"/>
      <c r="D163" s="50"/>
      <c r="E163" s="50"/>
      <c r="F163" s="111"/>
      <c r="G163" s="112"/>
      <c r="H163" s="112"/>
      <c r="I163" s="112"/>
      <c r="J163" s="112"/>
      <c r="K163" s="112"/>
      <c r="L163" s="113"/>
      <c r="M163" s="24"/>
      <c r="N163" s="50"/>
      <c r="O163" s="50"/>
      <c r="P163" s="50"/>
      <c r="Q163" s="50"/>
      <c r="R163" s="111"/>
      <c r="S163" s="112"/>
      <c r="T163" s="112"/>
      <c r="U163" s="113"/>
      <c r="V163" s="50"/>
      <c r="W163" s="50"/>
      <c r="X163" s="50"/>
      <c r="Y163" s="50"/>
      <c r="Z163" s="50"/>
      <c r="AA163" s="112"/>
      <c r="AB163" s="112"/>
      <c r="AC163" s="113"/>
    </row>
    <row r="164" spans="1:40" ht="21.75" customHeight="1" x14ac:dyDescent="0.25">
      <c r="A164" s="50">
        <v>19</v>
      </c>
      <c r="B164" s="50"/>
      <c r="C164" s="50"/>
      <c r="D164" s="50"/>
      <c r="E164" s="50"/>
      <c r="F164" s="111">
        <v>1</v>
      </c>
      <c r="G164" s="112"/>
      <c r="H164" s="112"/>
      <c r="I164" s="112"/>
      <c r="J164" s="112"/>
      <c r="K164" s="112"/>
      <c r="L164" s="113"/>
      <c r="M164" s="24"/>
      <c r="N164" s="50">
        <v>5</v>
      </c>
      <c r="O164" s="50"/>
      <c r="P164" s="50"/>
      <c r="Q164" s="50"/>
      <c r="R164" s="111">
        <v>18</v>
      </c>
      <c r="S164" s="112"/>
      <c r="T164" s="112"/>
      <c r="U164" s="113"/>
      <c r="V164" s="50">
        <v>70</v>
      </c>
      <c r="W164" s="50"/>
      <c r="X164" s="50"/>
      <c r="Y164" s="50"/>
      <c r="Z164" s="50"/>
      <c r="AA164" s="112">
        <v>0</v>
      </c>
      <c r="AB164" s="112"/>
      <c r="AC164" s="113"/>
    </row>
    <row r="165" spans="1:40" x14ac:dyDescent="0.25">
      <c r="A165" s="16"/>
      <c r="B165" s="16" t="s">
        <v>86</v>
      </c>
      <c r="C165" s="7" t="s">
        <v>87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40" x14ac:dyDescent="0.25">
      <c r="A166" s="16"/>
      <c r="B166" s="16" t="s">
        <v>12</v>
      </c>
      <c r="C166" s="7" t="s">
        <v>88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40" x14ac:dyDescent="0.25">
      <c r="A167" s="128"/>
      <c r="B167" s="16" t="s">
        <v>13</v>
      </c>
      <c r="C167" s="7" t="s">
        <v>89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40" ht="15" customHeight="1" x14ac:dyDescent="0.25">
      <c r="A168" s="128"/>
      <c r="B168" s="128" t="s">
        <v>14</v>
      </c>
      <c r="C168" s="137" t="s">
        <v>90</v>
      </c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27"/>
      <c r="AN168" s="15">
        <f ca="1">AN168:AO168</f>
        <v>0</v>
      </c>
    </row>
    <row r="169" spans="1:40" x14ac:dyDescent="0.25">
      <c r="B169" s="128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27"/>
    </row>
    <row r="170" spans="1:40" ht="12.75" customHeight="1" x14ac:dyDescent="0.25">
      <c r="M170" s="129" t="s">
        <v>19</v>
      </c>
      <c r="N170" s="129"/>
      <c r="O170" s="129"/>
      <c r="P170" s="129"/>
      <c r="Q170" s="129"/>
      <c r="R170" s="129"/>
      <c r="S170" s="11"/>
    </row>
    <row r="171" spans="1:40" x14ac:dyDescent="0.25">
      <c r="L171" s="12"/>
      <c r="M171" s="12"/>
      <c r="N171" s="12"/>
      <c r="O171" s="12"/>
      <c r="P171" s="13"/>
      <c r="R171" s="11"/>
      <c r="S171" s="11"/>
    </row>
    <row r="172" spans="1:40" x14ac:dyDescent="0.25">
      <c r="L172" s="9"/>
      <c r="R172" s="25"/>
      <c r="S172" s="25"/>
      <c r="T172" s="9"/>
      <c r="U172" s="9"/>
      <c r="V172" s="9"/>
      <c r="W172" s="9"/>
      <c r="X172" s="9"/>
      <c r="Y172" s="9"/>
      <c r="Z172" s="9"/>
    </row>
    <row r="173" spans="1:40" ht="15.75" x14ac:dyDescent="0.25">
      <c r="L173" s="25"/>
      <c r="M173" s="130" t="s">
        <v>97</v>
      </c>
      <c r="N173" s="130"/>
      <c r="O173" s="130"/>
      <c r="P173" s="130"/>
      <c r="Q173" s="130"/>
      <c r="R173" s="130"/>
      <c r="S173" s="25"/>
      <c r="T173" s="9"/>
      <c r="U173" s="9"/>
      <c r="V173" s="9"/>
      <c r="W173" s="9"/>
      <c r="X173" s="9"/>
      <c r="Y173" s="9"/>
      <c r="Z173" s="9"/>
    </row>
    <row r="174" spans="1:40" ht="15.75" x14ac:dyDescent="0.25">
      <c r="L174" s="25"/>
      <c r="M174" s="131" t="s">
        <v>98</v>
      </c>
      <c r="N174" s="131"/>
      <c r="O174" s="131"/>
      <c r="P174" s="131"/>
      <c r="Q174" s="131"/>
      <c r="R174" s="131"/>
      <c r="S174" s="25"/>
      <c r="T174" s="9"/>
      <c r="U174" s="9"/>
      <c r="V174" s="9"/>
      <c r="W174" s="9"/>
      <c r="X174" s="9"/>
      <c r="Y174" s="9"/>
      <c r="Z174" s="9"/>
    </row>
    <row r="176" spans="1:40" ht="12.75" customHeight="1" x14ac:dyDescent="0.25"/>
    <row r="177" spans="1:29" ht="12.75" customHeight="1" x14ac:dyDescent="0.25"/>
    <row r="178" spans="1:29" ht="12.75" customHeight="1" x14ac:dyDescent="0.25">
      <c r="A178" s="34" t="s">
        <v>41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</row>
    <row r="179" spans="1:29" ht="12" customHeight="1" x14ac:dyDescent="0.25">
      <c r="A179" s="35" t="s">
        <v>30</v>
      </c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</row>
    <row r="180" spans="1:29" ht="12" customHeight="1" x14ac:dyDescent="0.25">
      <c r="A180" s="35" t="s">
        <v>46</v>
      </c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</row>
    <row r="181" spans="1:29" ht="12" customHeight="1" x14ac:dyDescent="0.25">
      <c r="A181" s="36" t="s">
        <v>62</v>
      </c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</row>
    <row r="182" spans="1:29" ht="12" customHeight="1" x14ac:dyDescent="0.25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5">
      <c r="A183" s="37" t="s">
        <v>63</v>
      </c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 spans="1:29" ht="6" customHeight="1" x14ac:dyDescent="0.25"/>
    <row r="185" spans="1:29" ht="12.75" customHeight="1" x14ac:dyDescent="0.25">
      <c r="A185" s="38" t="s">
        <v>64</v>
      </c>
      <c r="B185" s="39"/>
      <c r="C185" s="39"/>
      <c r="D185" s="39"/>
      <c r="E185" s="39"/>
      <c r="F185" s="39"/>
      <c r="G185" s="39"/>
      <c r="H185" s="40"/>
      <c r="I185" s="38" t="s">
        <v>65</v>
      </c>
      <c r="J185" s="39"/>
      <c r="K185" s="39"/>
      <c r="L185" s="39"/>
      <c r="M185" s="39"/>
      <c r="N185" s="39"/>
      <c r="O185" s="39"/>
      <c r="P185" s="39"/>
      <c r="Q185" s="40"/>
      <c r="R185" s="38" t="s">
        <v>18</v>
      </c>
      <c r="S185" s="39"/>
      <c r="T185" s="39"/>
      <c r="U185" s="40"/>
      <c r="V185" s="41" t="s">
        <v>66</v>
      </c>
      <c r="W185" s="42"/>
      <c r="X185" s="42"/>
      <c r="Y185" s="42"/>
      <c r="Z185" s="42"/>
      <c r="AA185" s="42"/>
      <c r="AB185" s="42"/>
      <c r="AC185" s="43"/>
    </row>
    <row r="186" spans="1:29" ht="12.75" customHeight="1" x14ac:dyDescent="0.25">
      <c r="A186" s="47" t="s">
        <v>40</v>
      </c>
      <c r="B186" s="48"/>
      <c r="C186" s="48"/>
      <c r="D186" s="48"/>
      <c r="E186" s="48"/>
      <c r="F186" s="48"/>
      <c r="G186" s="48"/>
      <c r="H186" s="49"/>
      <c r="I186" s="47" t="s">
        <v>61</v>
      </c>
      <c r="J186" s="48"/>
      <c r="K186" s="48"/>
      <c r="L186" s="48"/>
      <c r="M186" s="48"/>
      <c r="N186" s="48"/>
      <c r="O186" s="48"/>
      <c r="P186" s="48"/>
      <c r="Q186" s="49"/>
      <c r="R186" s="58">
        <v>2025</v>
      </c>
      <c r="S186" s="59"/>
      <c r="T186" s="59"/>
      <c r="U186" s="60"/>
      <c r="V186" s="44"/>
      <c r="W186" s="45"/>
      <c r="X186" s="45"/>
      <c r="Y186" s="45"/>
      <c r="Z186" s="45"/>
      <c r="AA186" s="45"/>
      <c r="AB186" s="45"/>
      <c r="AC186" s="46"/>
    </row>
    <row r="187" spans="1:29" ht="12.75" customHeight="1" x14ac:dyDescent="0.25">
      <c r="A187" s="61" t="s">
        <v>67</v>
      </c>
      <c r="B187" s="62"/>
      <c r="C187" s="62"/>
      <c r="D187" s="62"/>
      <c r="E187" s="62"/>
      <c r="F187" s="62"/>
      <c r="G187" s="62"/>
      <c r="H187" s="63"/>
      <c r="I187" s="38" t="s">
        <v>68</v>
      </c>
      <c r="J187" s="39"/>
      <c r="K187" s="39"/>
      <c r="L187" s="39"/>
      <c r="M187" s="39"/>
      <c r="N187" s="39"/>
      <c r="O187" s="39"/>
      <c r="P187" s="39"/>
      <c r="Q187" s="40"/>
      <c r="R187" s="64" t="s">
        <v>91</v>
      </c>
      <c r="S187" s="39"/>
      <c r="T187" s="39"/>
      <c r="U187" s="40"/>
      <c r="V187" s="65"/>
      <c r="W187" s="66"/>
      <c r="X187" s="66"/>
      <c r="Y187" s="66"/>
      <c r="Z187" s="66"/>
      <c r="AA187" s="66"/>
      <c r="AB187" s="66"/>
      <c r="AC187" s="67"/>
    </row>
    <row r="188" spans="1:29" ht="12.75" customHeight="1" x14ac:dyDescent="0.25">
      <c r="A188" s="71" t="s">
        <v>61</v>
      </c>
      <c r="B188" s="72"/>
      <c r="C188" s="72"/>
      <c r="D188" s="72"/>
      <c r="E188" s="72"/>
      <c r="F188" s="72"/>
      <c r="G188" s="72"/>
      <c r="H188" s="73"/>
      <c r="I188" s="77" t="s">
        <v>60</v>
      </c>
      <c r="J188" s="78"/>
      <c r="K188" s="78"/>
      <c r="L188" s="78"/>
      <c r="M188" s="78"/>
      <c r="N188" s="78"/>
      <c r="O188" s="78"/>
      <c r="P188" s="78"/>
      <c r="Q188" s="79"/>
      <c r="R188" s="83" t="s">
        <v>8</v>
      </c>
      <c r="S188" s="84"/>
      <c r="T188" s="84"/>
      <c r="U188" s="85"/>
      <c r="V188" s="65"/>
      <c r="W188" s="66"/>
      <c r="X188" s="66"/>
      <c r="Y188" s="66"/>
      <c r="Z188" s="66"/>
      <c r="AA188" s="66"/>
      <c r="AB188" s="66"/>
      <c r="AC188" s="67"/>
    </row>
    <row r="189" spans="1:29" ht="6.75" customHeight="1" x14ac:dyDescent="0.25">
      <c r="A189" s="74"/>
      <c r="B189" s="75"/>
      <c r="C189" s="75"/>
      <c r="D189" s="75"/>
      <c r="E189" s="75"/>
      <c r="F189" s="75"/>
      <c r="G189" s="75"/>
      <c r="H189" s="76"/>
      <c r="I189" s="80"/>
      <c r="J189" s="81"/>
      <c r="K189" s="81"/>
      <c r="L189" s="81"/>
      <c r="M189" s="81"/>
      <c r="N189" s="81"/>
      <c r="O189" s="81"/>
      <c r="P189" s="81"/>
      <c r="Q189" s="82"/>
      <c r="R189" s="86"/>
      <c r="S189" s="87"/>
      <c r="T189" s="87"/>
      <c r="U189" s="88"/>
      <c r="V189" s="68"/>
      <c r="W189" s="69"/>
      <c r="X189" s="69"/>
      <c r="Y189" s="69"/>
      <c r="Z189" s="69"/>
      <c r="AA189" s="69"/>
      <c r="AB189" s="69"/>
      <c r="AC189" s="70"/>
    </row>
    <row r="190" spans="1:29" ht="10.5" customHeight="1" x14ac:dyDescent="0.25"/>
    <row r="191" spans="1:29" ht="12" customHeight="1" x14ac:dyDescent="0.25">
      <c r="A191" s="4" t="s">
        <v>31</v>
      </c>
    </row>
    <row r="192" spans="1:29" ht="12.75" customHeight="1" x14ac:dyDescent="0.25">
      <c r="L192" s="50" t="s">
        <v>15</v>
      </c>
      <c r="M192" s="50"/>
      <c r="N192" s="50"/>
      <c r="O192" s="51" t="s">
        <v>16</v>
      </c>
      <c r="P192" s="51"/>
      <c r="Q192" s="51"/>
      <c r="R192" s="50" t="s">
        <v>32</v>
      </c>
      <c r="S192" s="50"/>
      <c r="T192" s="50"/>
      <c r="U192" s="52"/>
      <c r="V192" s="51" t="s">
        <v>33</v>
      </c>
      <c r="W192" s="51"/>
      <c r="X192" s="51"/>
      <c r="Y192" s="51"/>
      <c r="Z192" s="51"/>
      <c r="AA192" s="51" t="s">
        <v>0</v>
      </c>
      <c r="AB192" s="51"/>
      <c r="AC192" s="51"/>
    </row>
    <row r="193" spans="1:82" ht="12.75" customHeight="1" x14ac:dyDescent="0.25">
      <c r="L193" s="50"/>
      <c r="M193" s="50"/>
      <c r="N193" s="50"/>
      <c r="O193" s="51"/>
      <c r="P193" s="51"/>
      <c r="Q193" s="51"/>
      <c r="R193" s="50"/>
      <c r="S193" s="50"/>
      <c r="T193" s="50"/>
      <c r="U193" s="52"/>
      <c r="V193" s="51"/>
      <c r="W193" s="51"/>
      <c r="X193" s="51"/>
      <c r="Y193" s="51"/>
      <c r="Z193" s="51"/>
      <c r="AA193" s="51"/>
      <c r="AB193" s="51"/>
      <c r="AC193" s="51"/>
    </row>
    <row r="194" spans="1:82" ht="20.25" customHeight="1" x14ac:dyDescent="0.3">
      <c r="A194" s="53" t="s">
        <v>69</v>
      </c>
      <c r="B194" s="54"/>
      <c r="C194" s="54"/>
      <c r="D194" s="54"/>
      <c r="E194" s="54"/>
      <c r="F194" s="54"/>
      <c r="G194" s="54"/>
      <c r="H194" s="54"/>
      <c r="I194" s="54"/>
      <c r="J194" s="54"/>
      <c r="K194" s="55"/>
      <c r="L194" s="132">
        <f>L136+L78+L20</f>
        <v>69</v>
      </c>
      <c r="M194" s="132"/>
      <c r="N194" s="132"/>
      <c r="O194" s="132">
        <f>O136+O78+O20</f>
        <v>8</v>
      </c>
      <c r="P194" s="132"/>
      <c r="Q194" s="132"/>
      <c r="R194" s="132">
        <f>R136+R78+R20</f>
        <v>0</v>
      </c>
      <c r="S194" s="132"/>
      <c r="T194" s="132"/>
      <c r="U194" s="133"/>
      <c r="V194" s="132">
        <f>V136+V78+V20</f>
        <v>0</v>
      </c>
      <c r="W194" s="132"/>
      <c r="X194" s="132"/>
      <c r="Y194" s="132"/>
      <c r="Z194" s="132"/>
      <c r="AA194" s="89">
        <f>V194+R194+O194+L194</f>
        <v>77</v>
      </c>
      <c r="AB194" s="89"/>
      <c r="AC194" s="89"/>
    </row>
    <row r="195" spans="1:82" ht="20.25" customHeight="1" x14ac:dyDescent="0.3">
      <c r="A195" s="53" t="s">
        <v>34</v>
      </c>
      <c r="B195" s="54"/>
      <c r="C195" s="54"/>
      <c r="D195" s="54"/>
      <c r="E195" s="54"/>
      <c r="F195" s="54"/>
      <c r="G195" s="54"/>
      <c r="H195" s="54"/>
      <c r="I195" s="54"/>
      <c r="J195" s="54"/>
      <c r="K195" s="55"/>
      <c r="L195" s="132">
        <f>L137+L79+L21</f>
        <v>46</v>
      </c>
      <c r="M195" s="132"/>
      <c r="N195" s="132"/>
      <c r="O195" s="132">
        <f>O137+O79+O21</f>
        <v>0</v>
      </c>
      <c r="P195" s="132"/>
      <c r="Q195" s="132"/>
      <c r="R195" s="132">
        <f>R137+R79+R21</f>
        <v>0</v>
      </c>
      <c r="S195" s="132"/>
      <c r="T195" s="132"/>
      <c r="U195" s="133"/>
      <c r="V195" s="132">
        <f>V137+V79+V21</f>
        <v>8</v>
      </c>
      <c r="W195" s="132"/>
      <c r="X195" s="132"/>
      <c r="Y195" s="132"/>
      <c r="Z195" s="132"/>
      <c r="AA195" s="89">
        <f>V195+R195+O195+L195</f>
        <v>54</v>
      </c>
      <c r="AB195" s="89"/>
      <c r="AC195" s="89"/>
    </row>
    <row r="196" spans="1:82" ht="20.25" customHeight="1" x14ac:dyDescent="0.3">
      <c r="A196" s="53" t="s">
        <v>70</v>
      </c>
      <c r="B196" s="54"/>
      <c r="C196" s="54"/>
      <c r="D196" s="54"/>
      <c r="E196" s="54"/>
      <c r="F196" s="54"/>
      <c r="G196" s="54"/>
      <c r="H196" s="54"/>
      <c r="I196" s="54"/>
      <c r="J196" s="54"/>
      <c r="K196" s="55"/>
      <c r="L196" s="132">
        <f>L138+L80+L22</f>
        <v>0</v>
      </c>
      <c r="M196" s="132"/>
      <c r="N196" s="132"/>
      <c r="O196" s="132">
        <f>O138+O80+O22</f>
        <v>0</v>
      </c>
      <c r="P196" s="132"/>
      <c r="Q196" s="132"/>
      <c r="R196" s="132">
        <f>R138+R80+R22</f>
        <v>0</v>
      </c>
      <c r="S196" s="132"/>
      <c r="T196" s="132"/>
      <c r="U196" s="133"/>
      <c r="V196" s="132">
        <f>V138+V80+V22</f>
        <v>0</v>
      </c>
      <c r="W196" s="132"/>
      <c r="X196" s="132"/>
      <c r="Y196" s="132"/>
      <c r="Z196" s="132"/>
      <c r="AA196" s="89">
        <f>V196+R196+O196+L196</f>
        <v>0</v>
      </c>
      <c r="AB196" s="89"/>
      <c r="AC196" s="89"/>
    </row>
    <row r="197" spans="1:82" ht="21" customHeight="1" x14ac:dyDescent="0.3">
      <c r="A197" s="53" t="s">
        <v>35</v>
      </c>
      <c r="B197" s="54"/>
      <c r="C197" s="54"/>
      <c r="D197" s="54"/>
      <c r="E197" s="54"/>
      <c r="F197" s="54"/>
      <c r="G197" s="54"/>
      <c r="H197" s="54"/>
      <c r="I197" s="54"/>
      <c r="J197" s="54"/>
      <c r="K197" s="55"/>
      <c r="L197" s="132">
        <f>L139+L81+L23</f>
        <v>5</v>
      </c>
      <c r="M197" s="132"/>
      <c r="N197" s="132"/>
      <c r="O197" s="132">
        <f>O139+O81+O23</f>
        <v>0</v>
      </c>
      <c r="P197" s="132"/>
      <c r="Q197" s="132"/>
      <c r="R197" s="132">
        <f>R139+R81+R23</f>
        <v>0</v>
      </c>
      <c r="S197" s="132"/>
      <c r="T197" s="132"/>
      <c r="U197" s="133"/>
      <c r="V197" s="132">
        <f>V139+V81+V23</f>
        <v>0</v>
      </c>
      <c r="W197" s="132"/>
      <c r="X197" s="132"/>
      <c r="Y197" s="132"/>
      <c r="Z197" s="132"/>
      <c r="AA197" s="89">
        <f>V197+R197+O197+L197</f>
        <v>5</v>
      </c>
      <c r="AB197" s="89"/>
      <c r="AC197" s="89"/>
    </row>
    <row r="198" spans="1:82" ht="4.5" customHeight="1" x14ac:dyDescent="0.25"/>
    <row r="199" spans="1:82" ht="12.75" customHeight="1" x14ac:dyDescent="0.25">
      <c r="A199" s="95" t="s">
        <v>36</v>
      </c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</row>
    <row r="200" spans="1:82" ht="12.75" customHeight="1" x14ac:dyDescent="0.25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</row>
    <row r="201" spans="1:82" ht="0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82" ht="17.25" customHeight="1" x14ac:dyDescent="0.25">
      <c r="J202" s="96" t="s">
        <v>9</v>
      </c>
      <c r="K202" s="97"/>
      <c r="L202" s="98" t="s">
        <v>10</v>
      </c>
      <c r="M202" s="94"/>
      <c r="N202" s="94" t="s">
        <v>3</v>
      </c>
      <c r="O202" s="94"/>
      <c r="P202" s="94" t="s">
        <v>4</v>
      </c>
      <c r="Q202" s="94"/>
      <c r="R202" s="94" t="s">
        <v>5</v>
      </c>
      <c r="S202" s="94"/>
      <c r="T202" s="94" t="s">
        <v>6</v>
      </c>
      <c r="U202" s="94"/>
      <c r="V202" s="94" t="s">
        <v>7</v>
      </c>
      <c r="W202" s="94"/>
      <c r="X202" s="94" t="s">
        <v>11</v>
      </c>
      <c r="Y202" s="94"/>
      <c r="Z202" s="99" t="s">
        <v>49</v>
      </c>
      <c r="AA202" s="99"/>
      <c r="AB202" s="94" t="s">
        <v>0</v>
      </c>
      <c r="AC202" s="94"/>
    </row>
    <row r="203" spans="1:82" ht="17.25" customHeight="1" x14ac:dyDescent="0.25">
      <c r="J203" s="2" t="s">
        <v>1</v>
      </c>
      <c r="K203" s="2" t="s">
        <v>2</v>
      </c>
      <c r="L203" s="2" t="s">
        <v>1</v>
      </c>
      <c r="M203" s="2" t="s">
        <v>2</v>
      </c>
      <c r="N203" s="2" t="s">
        <v>1</v>
      </c>
      <c r="O203" s="2" t="s">
        <v>2</v>
      </c>
      <c r="P203" s="2" t="s">
        <v>1</v>
      </c>
      <c r="Q203" s="2" t="s">
        <v>2</v>
      </c>
      <c r="R203" s="2" t="s">
        <v>1</v>
      </c>
      <c r="S203" s="2" t="s">
        <v>2</v>
      </c>
      <c r="T203" s="2" t="s">
        <v>1</v>
      </c>
      <c r="U203" s="2" t="s">
        <v>2</v>
      </c>
      <c r="V203" s="2" t="s">
        <v>1</v>
      </c>
      <c r="W203" s="2" t="s">
        <v>2</v>
      </c>
      <c r="X203" s="2" t="s">
        <v>1</v>
      </c>
      <c r="Y203" s="2" t="s">
        <v>2</v>
      </c>
      <c r="Z203" s="17" t="s">
        <v>1</v>
      </c>
      <c r="AA203" s="17" t="s">
        <v>2</v>
      </c>
      <c r="AB203" s="94"/>
      <c r="AC203" s="94"/>
    </row>
    <row r="204" spans="1:82" ht="18.75" customHeight="1" x14ac:dyDescent="0.25">
      <c r="A204" s="90" t="s">
        <v>71</v>
      </c>
      <c r="B204" s="91"/>
      <c r="C204" s="91"/>
      <c r="D204" s="91"/>
      <c r="E204" s="91"/>
      <c r="F204" s="91"/>
      <c r="G204" s="91"/>
      <c r="H204" s="91"/>
      <c r="I204" s="92"/>
      <c r="J204" s="26">
        <f>J146+J88+J30</f>
        <v>0</v>
      </c>
      <c r="K204" s="26">
        <f t="shared" ref="K204:Y204" si="6">K146+K88+K30</f>
        <v>0</v>
      </c>
      <c r="L204" s="26">
        <f t="shared" si="6"/>
        <v>0</v>
      </c>
      <c r="M204" s="26">
        <f t="shared" si="6"/>
        <v>1</v>
      </c>
      <c r="N204" s="26">
        <f t="shared" si="6"/>
        <v>10</v>
      </c>
      <c r="O204" s="26">
        <f t="shared" si="6"/>
        <v>9</v>
      </c>
      <c r="P204" s="26">
        <f t="shared" si="6"/>
        <v>12</v>
      </c>
      <c r="Q204" s="26">
        <f t="shared" si="6"/>
        <v>5</v>
      </c>
      <c r="R204" s="26">
        <f t="shared" si="6"/>
        <v>9</v>
      </c>
      <c r="S204" s="26">
        <f t="shared" si="6"/>
        <v>6</v>
      </c>
      <c r="T204" s="26">
        <f t="shared" si="6"/>
        <v>4</v>
      </c>
      <c r="U204" s="26">
        <f t="shared" si="6"/>
        <v>2</v>
      </c>
      <c r="V204" s="26">
        <f t="shared" si="6"/>
        <v>5</v>
      </c>
      <c r="W204" s="26">
        <f t="shared" si="6"/>
        <v>5</v>
      </c>
      <c r="X204" s="26">
        <f t="shared" si="6"/>
        <v>7</v>
      </c>
      <c r="Y204" s="26">
        <f t="shared" si="6"/>
        <v>2</v>
      </c>
      <c r="Z204" s="18">
        <f>X204+V204+T204+R204+P204+N204+L204+J204</f>
        <v>47</v>
      </c>
      <c r="AA204" s="18">
        <f>Y204+W204+U204+S204+Q204+O204+M204+K204</f>
        <v>30</v>
      </c>
      <c r="AB204" s="93">
        <f t="shared" ref="AB204:AB209" si="7">AA204+Z204</f>
        <v>77</v>
      </c>
      <c r="AC204" s="93"/>
    </row>
    <row r="205" spans="1:82" ht="18.75" customHeight="1" x14ac:dyDescent="0.25">
      <c r="A205" s="53" t="s">
        <v>37</v>
      </c>
      <c r="B205" s="54"/>
      <c r="C205" s="54"/>
      <c r="D205" s="54"/>
      <c r="E205" s="54"/>
      <c r="F205" s="54"/>
      <c r="G205" s="54"/>
      <c r="H205" s="54"/>
      <c r="I205" s="55"/>
      <c r="J205" s="26">
        <f t="shared" ref="J205:Y209" si="8">J147+J89+J31</f>
        <v>0</v>
      </c>
      <c r="K205" s="26">
        <f t="shared" si="8"/>
        <v>0</v>
      </c>
      <c r="L205" s="26">
        <f t="shared" si="8"/>
        <v>0</v>
      </c>
      <c r="M205" s="26">
        <f t="shared" si="8"/>
        <v>2</v>
      </c>
      <c r="N205" s="26">
        <f t="shared" si="8"/>
        <v>1</v>
      </c>
      <c r="O205" s="26">
        <f t="shared" si="8"/>
        <v>3</v>
      </c>
      <c r="P205" s="26">
        <f t="shared" si="8"/>
        <v>6</v>
      </c>
      <c r="Q205" s="26">
        <f t="shared" si="8"/>
        <v>2</v>
      </c>
      <c r="R205" s="26">
        <f t="shared" si="8"/>
        <v>3</v>
      </c>
      <c r="S205" s="26">
        <f t="shared" si="8"/>
        <v>0</v>
      </c>
      <c r="T205" s="26">
        <f t="shared" si="8"/>
        <v>3</v>
      </c>
      <c r="U205" s="26">
        <f t="shared" si="8"/>
        <v>2</v>
      </c>
      <c r="V205" s="26">
        <f t="shared" si="8"/>
        <v>2</v>
      </c>
      <c r="W205" s="26">
        <f t="shared" si="8"/>
        <v>5</v>
      </c>
      <c r="X205" s="26">
        <f t="shared" si="8"/>
        <v>10</v>
      </c>
      <c r="Y205" s="26">
        <f t="shared" si="8"/>
        <v>7</v>
      </c>
      <c r="Z205" s="18">
        <f t="shared" ref="Z205:AA209" si="9">X205+V205+T205+R205+P205+N205+L205+J205</f>
        <v>25</v>
      </c>
      <c r="AA205" s="18">
        <f t="shared" si="9"/>
        <v>21</v>
      </c>
      <c r="AB205" s="93">
        <f t="shared" si="7"/>
        <v>46</v>
      </c>
      <c r="AC205" s="93"/>
    </row>
    <row r="206" spans="1:82" ht="24" customHeight="1" thickBot="1" x14ac:dyDescent="0.3">
      <c r="A206" s="90" t="s">
        <v>72</v>
      </c>
      <c r="B206" s="91"/>
      <c r="C206" s="91"/>
      <c r="D206" s="91"/>
      <c r="E206" s="91"/>
      <c r="F206" s="91"/>
      <c r="G206" s="91"/>
      <c r="H206" s="91"/>
      <c r="I206" s="92"/>
      <c r="J206" s="26">
        <f t="shared" si="8"/>
        <v>0</v>
      </c>
      <c r="K206" s="26">
        <f t="shared" si="8"/>
        <v>0</v>
      </c>
      <c r="L206" s="26">
        <f t="shared" si="8"/>
        <v>0</v>
      </c>
      <c r="M206" s="26">
        <f t="shared" si="8"/>
        <v>0</v>
      </c>
      <c r="N206" s="26">
        <f t="shared" si="8"/>
        <v>0</v>
      </c>
      <c r="O206" s="26">
        <f t="shared" si="8"/>
        <v>0</v>
      </c>
      <c r="P206" s="26">
        <f t="shared" si="8"/>
        <v>0</v>
      </c>
      <c r="Q206" s="26">
        <f t="shared" si="8"/>
        <v>0</v>
      </c>
      <c r="R206" s="26">
        <f t="shared" si="8"/>
        <v>0</v>
      </c>
      <c r="S206" s="26">
        <f t="shared" si="8"/>
        <v>0</v>
      </c>
      <c r="T206" s="26">
        <f t="shared" si="8"/>
        <v>0</v>
      </c>
      <c r="U206" s="26">
        <f t="shared" si="8"/>
        <v>0</v>
      </c>
      <c r="V206" s="26">
        <f t="shared" si="8"/>
        <v>0</v>
      </c>
      <c r="W206" s="26">
        <f t="shared" si="8"/>
        <v>0</v>
      </c>
      <c r="X206" s="26">
        <f t="shared" si="8"/>
        <v>0</v>
      </c>
      <c r="Y206" s="26">
        <f t="shared" si="8"/>
        <v>0</v>
      </c>
      <c r="Z206" s="18">
        <f t="shared" si="9"/>
        <v>0</v>
      </c>
      <c r="AA206" s="18">
        <f t="shared" si="9"/>
        <v>0</v>
      </c>
      <c r="AB206" s="93">
        <f t="shared" si="7"/>
        <v>0</v>
      </c>
      <c r="AC206" s="93"/>
    </row>
    <row r="207" spans="1:82" ht="18.75" customHeight="1" thickBot="1" x14ac:dyDescent="0.3">
      <c r="A207" s="90" t="s">
        <v>38</v>
      </c>
      <c r="B207" s="91"/>
      <c r="C207" s="91"/>
      <c r="D207" s="91"/>
      <c r="E207" s="91"/>
      <c r="F207" s="91"/>
      <c r="G207" s="91"/>
      <c r="H207" s="91"/>
      <c r="I207" s="92"/>
      <c r="J207" s="26">
        <f t="shared" si="8"/>
        <v>1</v>
      </c>
      <c r="K207" s="26">
        <f t="shared" si="8"/>
        <v>0</v>
      </c>
      <c r="L207" s="26">
        <f t="shared" si="8"/>
        <v>0</v>
      </c>
      <c r="M207" s="26">
        <f t="shared" si="8"/>
        <v>1</v>
      </c>
      <c r="N207" s="26">
        <f t="shared" si="8"/>
        <v>0</v>
      </c>
      <c r="O207" s="26">
        <f t="shared" si="8"/>
        <v>1</v>
      </c>
      <c r="P207" s="26">
        <f t="shared" si="8"/>
        <v>1</v>
      </c>
      <c r="Q207" s="26">
        <f t="shared" si="8"/>
        <v>0</v>
      </c>
      <c r="R207" s="26">
        <f t="shared" si="8"/>
        <v>1</v>
      </c>
      <c r="S207" s="26">
        <f t="shared" si="8"/>
        <v>0</v>
      </c>
      <c r="T207" s="26">
        <f t="shared" si="8"/>
        <v>0</v>
      </c>
      <c r="U207" s="26">
        <f t="shared" si="8"/>
        <v>0</v>
      </c>
      <c r="V207" s="26">
        <f t="shared" si="8"/>
        <v>0</v>
      </c>
      <c r="W207" s="26">
        <f t="shared" si="8"/>
        <v>0</v>
      </c>
      <c r="X207" s="26">
        <f t="shared" si="8"/>
        <v>0</v>
      </c>
      <c r="Y207" s="26">
        <f t="shared" si="8"/>
        <v>0</v>
      </c>
      <c r="Z207" s="18">
        <f t="shared" si="9"/>
        <v>3</v>
      </c>
      <c r="AA207" s="18">
        <f t="shared" si="9"/>
        <v>2</v>
      </c>
      <c r="AB207" s="93">
        <f t="shared" si="7"/>
        <v>5</v>
      </c>
      <c r="AC207" s="93"/>
      <c r="CD207" s="31">
        <v>37</v>
      </c>
    </row>
    <row r="208" spans="1:82" ht="18.75" customHeight="1" thickBot="1" x14ac:dyDescent="0.3">
      <c r="A208" s="90" t="s">
        <v>39</v>
      </c>
      <c r="B208" s="91"/>
      <c r="C208" s="91"/>
      <c r="D208" s="91"/>
      <c r="E208" s="91"/>
      <c r="F208" s="91"/>
      <c r="G208" s="91"/>
      <c r="H208" s="91"/>
      <c r="I208" s="92"/>
      <c r="J208" s="26">
        <f t="shared" si="8"/>
        <v>0</v>
      </c>
      <c r="K208" s="26">
        <f t="shared" si="8"/>
        <v>0</v>
      </c>
      <c r="L208" s="26">
        <f t="shared" si="8"/>
        <v>0</v>
      </c>
      <c r="M208" s="26">
        <f t="shared" si="8"/>
        <v>0</v>
      </c>
      <c r="N208" s="26">
        <f t="shared" si="8"/>
        <v>0</v>
      </c>
      <c r="O208" s="26">
        <f t="shared" si="8"/>
        <v>0</v>
      </c>
      <c r="P208" s="26">
        <f t="shared" si="8"/>
        <v>0</v>
      </c>
      <c r="Q208" s="26">
        <f t="shared" si="8"/>
        <v>0</v>
      </c>
      <c r="R208" s="26">
        <f t="shared" si="8"/>
        <v>0</v>
      </c>
      <c r="S208" s="26">
        <f t="shared" si="8"/>
        <v>0</v>
      </c>
      <c r="T208" s="26">
        <f t="shared" si="8"/>
        <v>0</v>
      </c>
      <c r="U208" s="26">
        <f t="shared" si="8"/>
        <v>0</v>
      </c>
      <c r="V208" s="26">
        <f t="shared" si="8"/>
        <v>0</v>
      </c>
      <c r="W208" s="26">
        <f t="shared" si="8"/>
        <v>0</v>
      </c>
      <c r="X208" s="26">
        <f t="shared" si="8"/>
        <v>0</v>
      </c>
      <c r="Y208" s="26">
        <f t="shared" si="8"/>
        <v>0</v>
      </c>
      <c r="Z208" s="18">
        <f t="shared" si="9"/>
        <v>0</v>
      </c>
      <c r="AA208" s="18">
        <f t="shared" si="9"/>
        <v>0</v>
      </c>
      <c r="AB208" s="93">
        <f t="shared" si="7"/>
        <v>0</v>
      </c>
      <c r="AC208" s="93"/>
      <c r="CD208" s="31">
        <v>45</v>
      </c>
    </row>
    <row r="209" spans="1:82" ht="18.75" customHeight="1" thickBot="1" x14ac:dyDescent="0.3">
      <c r="A209" s="90" t="s">
        <v>17</v>
      </c>
      <c r="B209" s="91"/>
      <c r="C209" s="91"/>
      <c r="D209" s="91"/>
      <c r="E209" s="91"/>
      <c r="F209" s="91"/>
      <c r="G209" s="91"/>
      <c r="H209" s="91"/>
      <c r="I209" s="92"/>
      <c r="J209" s="26">
        <f t="shared" si="8"/>
        <v>0</v>
      </c>
      <c r="K209" s="26">
        <f t="shared" si="8"/>
        <v>0</v>
      </c>
      <c r="L209" s="26">
        <f t="shared" si="8"/>
        <v>0</v>
      </c>
      <c r="M209" s="26">
        <f t="shared" si="8"/>
        <v>0</v>
      </c>
      <c r="N209" s="26">
        <f t="shared" si="8"/>
        <v>0</v>
      </c>
      <c r="O209" s="26">
        <f t="shared" si="8"/>
        <v>0</v>
      </c>
      <c r="P209" s="26">
        <f t="shared" si="8"/>
        <v>0</v>
      </c>
      <c r="Q209" s="26">
        <f t="shared" si="8"/>
        <v>1</v>
      </c>
      <c r="R209" s="26">
        <f t="shared" si="8"/>
        <v>1</v>
      </c>
      <c r="S209" s="26">
        <f t="shared" si="8"/>
        <v>0</v>
      </c>
      <c r="T209" s="26">
        <f t="shared" si="8"/>
        <v>2</v>
      </c>
      <c r="U209" s="26">
        <f t="shared" si="8"/>
        <v>0</v>
      </c>
      <c r="V209" s="26">
        <f t="shared" si="8"/>
        <v>1</v>
      </c>
      <c r="W209" s="26">
        <f t="shared" si="8"/>
        <v>1</v>
      </c>
      <c r="X209" s="26">
        <f t="shared" si="8"/>
        <v>1</v>
      </c>
      <c r="Y209" s="26">
        <f t="shared" si="8"/>
        <v>1</v>
      </c>
      <c r="Z209" s="18">
        <f t="shared" si="9"/>
        <v>5</v>
      </c>
      <c r="AA209" s="18">
        <f t="shared" si="9"/>
        <v>3</v>
      </c>
      <c r="AB209" s="93">
        <f t="shared" si="7"/>
        <v>8</v>
      </c>
      <c r="AC209" s="93"/>
      <c r="CD209" s="31">
        <v>81</v>
      </c>
    </row>
    <row r="210" spans="1:82" ht="9" customHeight="1" thickBot="1" x14ac:dyDescent="0.3">
      <c r="CD210" s="31">
        <v>32</v>
      </c>
    </row>
    <row r="211" spans="1:82" ht="1.5" hidden="1" customHeight="1" x14ac:dyDescent="0.25">
      <c r="CD211" s="31">
        <v>1</v>
      </c>
    </row>
    <row r="212" spans="1:82" ht="19.5" thickBot="1" x14ac:dyDescent="0.3">
      <c r="A212" s="4" t="s">
        <v>73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N212" s="4" t="s">
        <v>20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CD212" s="31">
        <v>10</v>
      </c>
    </row>
    <row r="213" spans="1:82" ht="15" customHeight="1" thickBot="1" x14ac:dyDescent="0.3">
      <c r="A213" s="123" t="s">
        <v>74</v>
      </c>
      <c r="B213" s="123"/>
      <c r="C213" s="123"/>
      <c r="D213" s="123"/>
      <c r="E213" s="50" t="s">
        <v>75</v>
      </c>
      <c r="F213" s="50"/>
      <c r="G213" s="50"/>
      <c r="H213" s="50"/>
      <c r="I213" s="50" t="s">
        <v>76</v>
      </c>
      <c r="J213" s="50"/>
      <c r="K213" s="50"/>
      <c r="L213" s="50"/>
      <c r="M213" s="9"/>
      <c r="N213" s="124" t="s">
        <v>77</v>
      </c>
      <c r="O213" s="125"/>
      <c r="P213" s="125"/>
      <c r="Q213" s="125"/>
      <c r="R213" s="125"/>
      <c r="S213" s="126"/>
      <c r="T213" s="50" t="s">
        <v>21</v>
      </c>
      <c r="U213" s="50"/>
      <c r="V213" s="50" t="s">
        <v>22</v>
      </c>
      <c r="W213" s="50"/>
      <c r="X213" s="50"/>
      <c r="Y213" s="50"/>
      <c r="Z213" s="50"/>
      <c r="AA213" s="50" t="s">
        <v>23</v>
      </c>
      <c r="AB213" s="50"/>
      <c r="AC213" s="50"/>
      <c r="AD213" s="10"/>
      <c r="AE213" s="3"/>
      <c r="AG213" s="9"/>
      <c r="AH213" s="9"/>
      <c r="AI213" s="9"/>
      <c r="AJ213" s="9"/>
      <c r="CD213" s="31">
        <v>123</v>
      </c>
    </row>
    <row r="214" spans="1:82" ht="51" customHeight="1" thickBot="1" x14ac:dyDescent="0.3">
      <c r="A214" s="123"/>
      <c r="B214" s="123"/>
      <c r="C214" s="123"/>
      <c r="D214" s="123"/>
      <c r="E214" s="50"/>
      <c r="F214" s="50"/>
      <c r="G214" s="50"/>
      <c r="H214" s="50"/>
      <c r="I214" s="50"/>
      <c r="J214" s="50"/>
      <c r="K214" s="50"/>
      <c r="L214" s="50"/>
      <c r="M214" s="20"/>
      <c r="N214" s="101"/>
      <c r="O214" s="102"/>
      <c r="P214" s="102"/>
      <c r="Q214" s="102"/>
      <c r="R214" s="102"/>
      <c r="S214" s="127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10"/>
      <c r="AE214" s="3"/>
      <c r="AG214" s="21"/>
      <c r="AH214" s="21"/>
      <c r="AI214" s="21"/>
      <c r="AJ214" s="9"/>
      <c r="CD214" s="31">
        <v>30</v>
      </c>
    </row>
    <row r="215" spans="1:82" ht="48.75" customHeight="1" x14ac:dyDescent="0.25">
      <c r="A215" s="50" t="s">
        <v>78</v>
      </c>
      <c r="B215" s="50"/>
      <c r="C215" s="52" t="s">
        <v>79</v>
      </c>
      <c r="D215" s="116"/>
      <c r="E215" s="50" t="s">
        <v>78</v>
      </c>
      <c r="F215" s="50"/>
      <c r="G215" s="50" t="s">
        <v>79</v>
      </c>
      <c r="H215" s="50"/>
      <c r="I215" s="117" t="s">
        <v>80</v>
      </c>
      <c r="J215" s="117"/>
      <c r="K215" s="50" t="s">
        <v>81</v>
      </c>
      <c r="L215" s="50"/>
      <c r="M215" s="20"/>
      <c r="N215" s="118" t="s">
        <v>82</v>
      </c>
      <c r="O215" s="119"/>
      <c r="P215" s="120"/>
      <c r="Q215" s="121" t="s">
        <v>83</v>
      </c>
      <c r="R215" s="122"/>
      <c r="S215" s="122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10"/>
      <c r="AE215" s="22"/>
      <c r="AG215" s="21"/>
      <c r="AH215" s="21"/>
      <c r="AI215" s="21"/>
      <c r="AJ215" s="9"/>
    </row>
    <row r="216" spans="1:82" ht="21.75" customHeight="1" x14ac:dyDescent="0.25">
      <c r="A216" s="56">
        <f>A158+A100+A42</f>
        <v>0</v>
      </c>
      <c r="B216" s="56"/>
      <c r="C216" s="138">
        <f>C158+C100+C42</f>
        <v>960</v>
      </c>
      <c r="D216" s="138"/>
      <c r="E216" s="138">
        <f>E158+E100+E42</f>
        <v>0</v>
      </c>
      <c r="F216" s="138"/>
      <c r="G216" s="138">
        <f>G158+G100+G42</f>
        <v>77</v>
      </c>
      <c r="H216" s="138"/>
      <c r="I216" s="138">
        <f>I158+I100+I42</f>
        <v>0</v>
      </c>
      <c r="J216" s="138"/>
      <c r="K216" s="138">
        <f>K158+K100+K42</f>
        <v>0</v>
      </c>
      <c r="L216" s="138"/>
      <c r="M216" s="20"/>
      <c r="N216" s="100">
        <f>N158+N100+N42</f>
        <v>136</v>
      </c>
      <c r="O216" s="100"/>
      <c r="P216" s="100"/>
      <c r="Q216" s="100">
        <f>Q158+Q100+Q42</f>
        <v>128</v>
      </c>
      <c r="R216" s="100"/>
      <c r="S216" s="100"/>
      <c r="T216" s="103">
        <f>T158+T100+T42</f>
        <v>4</v>
      </c>
      <c r="U216" s="103"/>
      <c r="V216" s="103">
        <f>V158+V100+V42</f>
        <v>4</v>
      </c>
      <c r="W216" s="103"/>
      <c r="X216" s="103"/>
      <c r="Y216" s="103"/>
      <c r="Z216" s="103"/>
      <c r="AA216" s="104">
        <f>AA158+AA100+AA42</f>
        <v>4</v>
      </c>
      <c r="AB216" s="104"/>
      <c r="AC216" s="104"/>
      <c r="AD216" s="22"/>
      <c r="AE216" s="23"/>
      <c r="AG216" s="9"/>
      <c r="AH216" s="9"/>
      <c r="AI216" s="9"/>
      <c r="AJ216" s="9"/>
    </row>
    <row r="217" spans="1:82" ht="6" customHeight="1" x14ac:dyDescent="0.25">
      <c r="L217" s="24"/>
      <c r="AG217" s="9"/>
      <c r="AH217" s="9"/>
      <c r="AI217" s="9"/>
      <c r="AJ217" s="9"/>
    </row>
    <row r="218" spans="1:82" ht="15.75" x14ac:dyDescent="0.25">
      <c r="A218" s="4" t="s">
        <v>24</v>
      </c>
      <c r="B218" s="19"/>
      <c r="C218" s="19"/>
      <c r="D218" s="19"/>
      <c r="E218" s="19"/>
      <c r="M218" s="19"/>
      <c r="N218" s="4" t="s">
        <v>25</v>
      </c>
      <c r="O218" s="19"/>
      <c r="AG218" s="9"/>
      <c r="AH218" s="9"/>
      <c r="AI218" s="9"/>
      <c r="AJ218" s="9"/>
    </row>
    <row r="219" spans="1:82" ht="15" customHeight="1" x14ac:dyDescent="0.25">
      <c r="A219" s="50" t="s">
        <v>26</v>
      </c>
      <c r="B219" s="50"/>
      <c r="C219" s="50"/>
      <c r="D219" s="50"/>
      <c r="E219" s="50"/>
      <c r="F219" s="105" t="s">
        <v>27</v>
      </c>
      <c r="G219" s="106"/>
      <c r="H219" s="106"/>
      <c r="I219" s="106"/>
      <c r="J219" s="106"/>
      <c r="K219" s="106"/>
      <c r="L219" s="107"/>
      <c r="M219" s="24"/>
      <c r="N219" s="50" t="s">
        <v>84</v>
      </c>
      <c r="O219" s="50"/>
      <c r="P219" s="50"/>
      <c r="Q219" s="50"/>
      <c r="R219" s="105" t="s">
        <v>28</v>
      </c>
      <c r="S219" s="106"/>
      <c r="T219" s="106"/>
      <c r="U219" s="107"/>
      <c r="V219" s="50" t="s">
        <v>29</v>
      </c>
      <c r="W219" s="50"/>
      <c r="X219" s="50"/>
      <c r="Y219" s="50"/>
      <c r="Z219" s="50"/>
      <c r="AA219" s="106" t="s">
        <v>85</v>
      </c>
      <c r="AB219" s="106"/>
      <c r="AC219" s="107"/>
    </row>
    <row r="220" spans="1:82" x14ac:dyDescent="0.25">
      <c r="A220" s="50"/>
      <c r="B220" s="50"/>
      <c r="C220" s="50"/>
      <c r="D220" s="50"/>
      <c r="E220" s="50"/>
      <c r="F220" s="108"/>
      <c r="G220" s="109"/>
      <c r="H220" s="109"/>
      <c r="I220" s="109"/>
      <c r="J220" s="109"/>
      <c r="K220" s="109"/>
      <c r="L220" s="110"/>
      <c r="M220" s="24"/>
      <c r="N220" s="50"/>
      <c r="O220" s="50"/>
      <c r="P220" s="50"/>
      <c r="Q220" s="50"/>
      <c r="R220" s="108"/>
      <c r="S220" s="109"/>
      <c r="T220" s="109"/>
      <c r="U220" s="110"/>
      <c r="V220" s="50"/>
      <c r="W220" s="50"/>
      <c r="X220" s="50"/>
      <c r="Y220" s="50"/>
      <c r="Z220" s="50"/>
      <c r="AA220" s="109"/>
      <c r="AB220" s="109"/>
      <c r="AC220" s="110"/>
    </row>
    <row r="221" spans="1:82" x14ac:dyDescent="0.25">
      <c r="A221" s="50"/>
      <c r="B221" s="50"/>
      <c r="C221" s="50"/>
      <c r="D221" s="50"/>
      <c r="E221" s="50"/>
      <c r="F221" s="111"/>
      <c r="G221" s="112"/>
      <c r="H221" s="112"/>
      <c r="I221" s="112"/>
      <c r="J221" s="112"/>
      <c r="K221" s="112"/>
      <c r="L221" s="113"/>
      <c r="M221" s="24"/>
      <c r="N221" s="50"/>
      <c r="O221" s="50"/>
      <c r="P221" s="50"/>
      <c r="Q221" s="50"/>
      <c r="R221" s="111"/>
      <c r="S221" s="112"/>
      <c r="T221" s="112"/>
      <c r="U221" s="113"/>
      <c r="V221" s="50"/>
      <c r="W221" s="50"/>
      <c r="X221" s="50"/>
      <c r="Y221" s="50"/>
      <c r="Z221" s="50"/>
      <c r="AA221" s="112"/>
      <c r="AB221" s="112"/>
      <c r="AC221" s="113"/>
    </row>
    <row r="222" spans="1:82" ht="21.75" customHeight="1" x14ac:dyDescent="0.25">
      <c r="A222" s="50">
        <f>A164+A106+A48</f>
        <v>91</v>
      </c>
      <c r="B222" s="50"/>
      <c r="C222" s="50"/>
      <c r="D222" s="50"/>
      <c r="E222" s="50"/>
      <c r="F222" s="111">
        <f>F164+F106+F48</f>
        <v>10</v>
      </c>
      <c r="G222" s="112"/>
      <c r="H222" s="112"/>
      <c r="I222" s="112"/>
      <c r="J222" s="112"/>
      <c r="K222" s="112"/>
      <c r="L222" s="113"/>
      <c r="M222" s="24"/>
      <c r="N222" s="50">
        <f>N164+N106+N48</f>
        <v>18</v>
      </c>
      <c r="O222" s="50"/>
      <c r="P222" s="50"/>
      <c r="Q222" s="50"/>
      <c r="R222" s="50">
        <f>R164+R106+R48</f>
        <v>82</v>
      </c>
      <c r="S222" s="50"/>
      <c r="T222" s="50"/>
      <c r="U222" s="50"/>
      <c r="V222" s="50">
        <f>V164+V106+V48</f>
        <v>255</v>
      </c>
      <c r="W222" s="50"/>
      <c r="X222" s="50"/>
      <c r="Y222" s="50"/>
      <c r="Z222" s="50"/>
      <c r="AA222" s="112">
        <f>AA164+AA106+AA48</f>
        <v>2</v>
      </c>
      <c r="AB222" s="112"/>
      <c r="AC222" s="113"/>
    </row>
    <row r="223" spans="1:82" x14ac:dyDescent="0.25">
      <c r="A223" s="16"/>
      <c r="B223" s="16" t="s">
        <v>86</v>
      </c>
      <c r="C223" s="7" t="s">
        <v>87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82" x14ac:dyDescent="0.25">
      <c r="A224" s="16"/>
      <c r="B224" s="16" t="s">
        <v>12</v>
      </c>
      <c r="C224" s="7" t="s">
        <v>88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40" x14ac:dyDescent="0.25">
      <c r="A225" s="128"/>
      <c r="B225" s="16" t="s">
        <v>13</v>
      </c>
      <c r="C225" s="7" t="s">
        <v>89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40" ht="15" customHeight="1" x14ac:dyDescent="0.25">
      <c r="A226" s="128"/>
      <c r="B226" s="128" t="s">
        <v>14</v>
      </c>
      <c r="C226" s="137" t="s">
        <v>90</v>
      </c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27"/>
      <c r="AN226" s="15">
        <f ca="1">AN226:AO226</f>
        <v>0</v>
      </c>
    </row>
    <row r="227" spans="1:40" ht="9" customHeight="1" x14ac:dyDescent="0.25">
      <c r="B227" s="128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27"/>
    </row>
    <row r="228" spans="1:40" ht="12.75" customHeight="1" x14ac:dyDescent="0.25">
      <c r="M228" s="129" t="s">
        <v>19</v>
      </c>
      <c r="N228" s="129"/>
      <c r="O228" s="129"/>
      <c r="P228" s="129"/>
      <c r="Q228" s="129"/>
      <c r="R228" s="129"/>
      <c r="S228" s="11"/>
    </row>
    <row r="229" spans="1:40" x14ac:dyDescent="0.25">
      <c r="L229" s="12"/>
      <c r="M229" s="12"/>
      <c r="N229" s="12"/>
      <c r="O229" s="12"/>
      <c r="P229" s="13"/>
      <c r="R229" s="11"/>
      <c r="S229" s="11"/>
    </row>
    <row r="230" spans="1:40" x14ac:dyDescent="0.25">
      <c r="L230" s="9"/>
      <c r="R230" s="25"/>
      <c r="S230" s="25"/>
      <c r="T230" s="9"/>
      <c r="U230" s="9"/>
      <c r="V230" s="9"/>
      <c r="W230" s="9"/>
      <c r="X230" s="9"/>
      <c r="Y230" s="9"/>
      <c r="Z230" s="9"/>
    </row>
    <row r="231" spans="1:40" ht="15.75" x14ac:dyDescent="0.25">
      <c r="L231" s="25"/>
      <c r="M231" s="130" t="s">
        <v>97</v>
      </c>
      <c r="N231" s="130"/>
      <c r="O231" s="130"/>
      <c r="P231" s="130"/>
      <c r="Q231" s="130"/>
      <c r="R231" s="130"/>
      <c r="S231" s="25"/>
      <c r="T231" s="9"/>
      <c r="U231" s="9"/>
      <c r="V231" s="9"/>
      <c r="W231" s="9"/>
      <c r="X231" s="9"/>
      <c r="Y231" s="9"/>
      <c r="Z231" s="9"/>
    </row>
    <row r="232" spans="1:40" ht="15.75" x14ac:dyDescent="0.25">
      <c r="L232" s="25"/>
      <c r="M232" s="131" t="s">
        <v>98</v>
      </c>
      <c r="N232" s="131"/>
      <c r="O232" s="131"/>
      <c r="P232" s="131"/>
      <c r="Q232" s="131"/>
      <c r="R232" s="131"/>
      <c r="S232" s="25"/>
      <c r="T232" s="9"/>
      <c r="U232" s="9"/>
      <c r="V232" s="9"/>
      <c r="W232" s="9"/>
      <c r="X232" s="9"/>
      <c r="Y232" s="9"/>
      <c r="Z232" s="9"/>
    </row>
    <row r="234" spans="1:40" ht="12.75" customHeight="1" x14ac:dyDescent="0.25"/>
    <row r="235" spans="1:40" ht="12.75" customHeight="1" x14ac:dyDescent="0.25"/>
    <row r="236" spans="1:40" ht="12.75" customHeight="1" x14ac:dyDescent="0.25">
      <c r="A236" s="34" t="s">
        <v>41</v>
      </c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</row>
    <row r="237" spans="1:40" ht="12" customHeight="1" x14ac:dyDescent="0.25">
      <c r="A237" s="35" t="s">
        <v>30</v>
      </c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</row>
    <row r="238" spans="1:40" ht="12" customHeight="1" x14ac:dyDescent="0.25">
      <c r="A238" s="35" t="s">
        <v>46</v>
      </c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</row>
    <row r="239" spans="1:40" ht="12" customHeight="1" x14ac:dyDescent="0.25">
      <c r="A239" s="36" t="s">
        <v>62</v>
      </c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</row>
    <row r="240" spans="1:40" ht="12" customHeight="1" x14ac:dyDescent="0.25">
      <c r="A240" s="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5">
      <c r="A241" s="37" t="s">
        <v>63</v>
      </c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 spans="1:29" ht="6" customHeight="1" x14ac:dyDescent="0.25"/>
    <row r="243" spans="1:29" ht="12.75" customHeight="1" x14ac:dyDescent="0.25">
      <c r="A243" s="38" t="s">
        <v>64</v>
      </c>
      <c r="B243" s="39"/>
      <c r="C243" s="39"/>
      <c r="D243" s="39"/>
      <c r="E243" s="39"/>
      <c r="F243" s="39"/>
      <c r="G243" s="39"/>
      <c r="H243" s="40"/>
      <c r="I243" s="38" t="s">
        <v>65</v>
      </c>
      <c r="J243" s="39"/>
      <c r="K243" s="39"/>
      <c r="L243" s="39"/>
      <c r="M243" s="39"/>
      <c r="N243" s="39"/>
      <c r="O243" s="39"/>
      <c r="P243" s="39"/>
      <c r="Q243" s="40"/>
      <c r="R243" s="38" t="s">
        <v>18</v>
      </c>
      <c r="S243" s="39"/>
      <c r="T243" s="39"/>
      <c r="U243" s="40"/>
      <c r="V243" s="41" t="s">
        <v>66</v>
      </c>
      <c r="W243" s="42"/>
      <c r="X243" s="42"/>
      <c r="Y243" s="42"/>
      <c r="Z243" s="42"/>
      <c r="AA243" s="42"/>
      <c r="AB243" s="42"/>
      <c r="AC243" s="43"/>
    </row>
    <row r="244" spans="1:29" ht="12.75" customHeight="1" x14ac:dyDescent="0.25">
      <c r="A244" s="47" t="s">
        <v>40</v>
      </c>
      <c r="B244" s="48"/>
      <c r="C244" s="48"/>
      <c r="D244" s="48"/>
      <c r="E244" s="48"/>
      <c r="F244" s="48"/>
      <c r="G244" s="48"/>
      <c r="H244" s="49"/>
      <c r="I244" s="47" t="s">
        <v>61</v>
      </c>
      <c r="J244" s="48"/>
      <c r="K244" s="48"/>
      <c r="L244" s="48"/>
      <c r="M244" s="48"/>
      <c r="N244" s="48"/>
      <c r="O244" s="48"/>
      <c r="P244" s="48"/>
      <c r="Q244" s="49"/>
      <c r="R244" s="58">
        <v>2025</v>
      </c>
      <c r="S244" s="59"/>
      <c r="T244" s="59"/>
      <c r="U244" s="60"/>
      <c r="V244" s="44"/>
      <c r="W244" s="45"/>
      <c r="X244" s="45"/>
      <c r="Y244" s="45"/>
      <c r="Z244" s="45"/>
      <c r="AA244" s="45"/>
      <c r="AB244" s="45"/>
      <c r="AC244" s="46"/>
    </row>
    <row r="245" spans="1:29" ht="12.75" customHeight="1" x14ac:dyDescent="0.25">
      <c r="A245" s="61" t="s">
        <v>67</v>
      </c>
      <c r="B245" s="62"/>
      <c r="C245" s="62"/>
      <c r="D245" s="62"/>
      <c r="E245" s="62"/>
      <c r="F245" s="62"/>
      <c r="G245" s="62"/>
      <c r="H245" s="63"/>
      <c r="I245" s="38" t="s">
        <v>68</v>
      </c>
      <c r="J245" s="39"/>
      <c r="K245" s="39"/>
      <c r="L245" s="39"/>
      <c r="M245" s="39"/>
      <c r="N245" s="39"/>
      <c r="O245" s="39"/>
      <c r="P245" s="39"/>
      <c r="Q245" s="40"/>
      <c r="R245" s="64" t="s">
        <v>47</v>
      </c>
      <c r="S245" s="39"/>
      <c r="T245" s="39"/>
      <c r="U245" s="40"/>
      <c r="V245" s="65"/>
      <c r="W245" s="66"/>
      <c r="X245" s="66"/>
      <c r="Y245" s="66"/>
      <c r="Z245" s="66"/>
      <c r="AA245" s="66"/>
      <c r="AB245" s="66"/>
      <c r="AC245" s="67"/>
    </row>
    <row r="246" spans="1:29" ht="12.75" customHeight="1" x14ac:dyDescent="0.25">
      <c r="A246" s="71" t="s">
        <v>61</v>
      </c>
      <c r="B246" s="72"/>
      <c r="C246" s="72"/>
      <c r="D246" s="72"/>
      <c r="E246" s="72"/>
      <c r="F246" s="72"/>
      <c r="G246" s="72"/>
      <c r="H246" s="73"/>
      <c r="I246" s="77" t="s">
        <v>60</v>
      </c>
      <c r="J246" s="78"/>
      <c r="K246" s="78"/>
      <c r="L246" s="78"/>
      <c r="M246" s="78"/>
      <c r="N246" s="78"/>
      <c r="O246" s="78"/>
      <c r="P246" s="78"/>
      <c r="Q246" s="79"/>
      <c r="R246" s="83" t="s">
        <v>52</v>
      </c>
      <c r="S246" s="84"/>
      <c r="T246" s="84"/>
      <c r="U246" s="85"/>
      <c r="V246" s="65"/>
      <c r="W246" s="66"/>
      <c r="X246" s="66"/>
      <c r="Y246" s="66"/>
      <c r="Z246" s="66"/>
      <c r="AA246" s="66"/>
      <c r="AB246" s="66"/>
      <c r="AC246" s="67"/>
    </row>
    <row r="247" spans="1:29" ht="6.75" customHeight="1" x14ac:dyDescent="0.25">
      <c r="A247" s="74"/>
      <c r="B247" s="75"/>
      <c r="C247" s="75"/>
      <c r="D247" s="75"/>
      <c r="E247" s="75"/>
      <c r="F247" s="75"/>
      <c r="G247" s="75"/>
      <c r="H247" s="76"/>
      <c r="I247" s="80"/>
      <c r="J247" s="81"/>
      <c r="K247" s="81"/>
      <c r="L247" s="81"/>
      <c r="M247" s="81"/>
      <c r="N247" s="81"/>
      <c r="O247" s="81"/>
      <c r="P247" s="81"/>
      <c r="Q247" s="82"/>
      <c r="R247" s="86"/>
      <c r="S247" s="87"/>
      <c r="T247" s="87"/>
      <c r="U247" s="88"/>
      <c r="V247" s="68"/>
      <c r="W247" s="69"/>
      <c r="X247" s="69"/>
      <c r="Y247" s="69"/>
      <c r="Z247" s="69"/>
      <c r="AA247" s="69"/>
      <c r="AB247" s="69"/>
      <c r="AC247" s="70"/>
    </row>
    <row r="248" spans="1:29" ht="10.5" customHeight="1" x14ac:dyDescent="0.25"/>
    <row r="249" spans="1:29" ht="12" customHeight="1" x14ac:dyDescent="0.25">
      <c r="A249" s="4" t="s">
        <v>31</v>
      </c>
    </row>
    <row r="250" spans="1:29" ht="12.75" customHeight="1" x14ac:dyDescent="0.25">
      <c r="L250" s="50" t="s">
        <v>15</v>
      </c>
      <c r="M250" s="50"/>
      <c r="N250" s="50"/>
      <c r="O250" s="51" t="s">
        <v>16</v>
      </c>
      <c r="P250" s="51"/>
      <c r="Q250" s="51"/>
      <c r="R250" s="50" t="s">
        <v>32</v>
      </c>
      <c r="S250" s="50"/>
      <c r="T250" s="50"/>
      <c r="U250" s="52"/>
      <c r="V250" s="51" t="s">
        <v>33</v>
      </c>
      <c r="W250" s="51"/>
      <c r="X250" s="51"/>
      <c r="Y250" s="51"/>
      <c r="Z250" s="51"/>
      <c r="AA250" s="51" t="s">
        <v>0</v>
      </c>
      <c r="AB250" s="51"/>
      <c r="AC250" s="51"/>
    </row>
    <row r="251" spans="1:29" ht="12.75" customHeight="1" x14ac:dyDescent="0.25">
      <c r="L251" s="50"/>
      <c r="M251" s="50"/>
      <c r="N251" s="50"/>
      <c r="O251" s="51"/>
      <c r="P251" s="51"/>
      <c r="Q251" s="51"/>
      <c r="R251" s="50"/>
      <c r="S251" s="50"/>
      <c r="T251" s="50"/>
      <c r="U251" s="52"/>
      <c r="V251" s="51"/>
      <c r="W251" s="51"/>
      <c r="X251" s="51"/>
      <c r="Y251" s="51"/>
      <c r="Z251" s="51"/>
      <c r="AA251" s="51"/>
      <c r="AB251" s="51"/>
      <c r="AC251" s="51"/>
    </row>
    <row r="252" spans="1:29" ht="20.25" customHeight="1" x14ac:dyDescent="0.3">
      <c r="A252" s="53" t="s">
        <v>69</v>
      </c>
      <c r="B252" s="54"/>
      <c r="C252" s="54"/>
      <c r="D252" s="54"/>
      <c r="E252" s="54"/>
      <c r="F252" s="54"/>
      <c r="G252" s="54"/>
      <c r="H252" s="54"/>
      <c r="I252" s="54"/>
      <c r="J252" s="54"/>
      <c r="K252" s="55"/>
      <c r="L252" s="56">
        <v>26</v>
      </c>
      <c r="M252" s="56"/>
      <c r="N252" s="56"/>
      <c r="O252" s="56">
        <v>2</v>
      </c>
      <c r="P252" s="56"/>
      <c r="Q252" s="56"/>
      <c r="R252" s="56">
        <v>0</v>
      </c>
      <c r="S252" s="56"/>
      <c r="T252" s="56"/>
      <c r="U252" s="57"/>
      <c r="V252" s="56">
        <v>0</v>
      </c>
      <c r="W252" s="56"/>
      <c r="X252" s="56"/>
      <c r="Y252" s="56"/>
      <c r="Z252" s="56"/>
      <c r="AA252" s="89">
        <f>V252+R252+O252+L252</f>
        <v>28</v>
      </c>
      <c r="AB252" s="89"/>
      <c r="AC252" s="89"/>
    </row>
    <row r="253" spans="1:29" ht="20.25" customHeight="1" x14ac:dyDescent="0.3">
      <c r="A253" s="53" t="s">
        <v>34</v>
      </c>
      <c r="B253" s="54"/>
      <c r="C253" s="54"/>
      <c r="D253" s="54"/>
      <c r="E253" s="54"/>
      <c r="F253" s="54"/>
      <c r="G253" s="54"/>
      <c r="H253" s="54"/>
      <c r="I253" s="54"/>
      <c r="J253" s="54"/>
      <c r="K253" s="55"/>
      <c r="L253" s="56">
        <v>10</v>
      </c>
      <c r="M253" s="56"/>
      <c r="N253" s="56"/>
      <c r="O253" s="56">
        <v>0</v>
      </c>
      <c r="P253" s="56"/>
      <c r="Q253" s="56"/>
      <c r="R253" s="56">
        <v>0</v>
      </c>
      <c r="S253" s="56"/>
      <c r="T253" s="56"/>
      <c r="U253" s="57"/>
      <c r="V253" s="56">
        <v>1</v>
      </c>
      <c r="W253" s="56"/>
      <c r="X253" s="56"/>
      <c r="Y253" s="56"/>
      <c r="Z253" s="56"/>
      <c r="AA253" s="89">
        <f>V253+R253+O253+L253</f>
        <v>11</v>
      </c>
      <c r="AB253" s="89"/>
      <c r="AC253" s="89"/>
    </row>
    <row r="254" spans="1:29" ht="20.25" customHeight="1" x14ac:dyDescent="0.3">
      <c r="A254" s="53" t="s">
        <v>70</v>
      </c>
      <c r="B254" s="54"/>
      <c r="C254" s="54"/>
      <c r="D254" s="54"/>
      <c r="E254" s="54"/>
      <c r="F254" s="54"/>
      <c r="G254" s="54"/>
      <c r="H254" s="54"/>
      <c r="I254" s="54"/>
      <c r="J254" s="54"/>
      <c r="K254" s="55"/>
      <c r="L254" s="56">
        <v>1</v>
      </c>
      <c r="M254" s="56"/>
      <c r="N254" s="56"/>
      <c r="O254" s="56">
        <v>0</v>
      </c>
      <c r="P254" s="56"/>
      <c r="Q254" s="56"/>
      <c r="R254" s="56">
        <v>0</v>
      </c>
      <c r="S254" s="56"/>
      <c r="T254" s="56"/>
      <c r="U254" s="57"/>
      <c r="V254" s="56">
        <v>0</v>
      </c>
      <c r="W254" s="56"/>
      <c r="X254" s="56"/>
      <c r="Y254" s="56"/>
      <c r="Z254" s="56"/>
      <c r="AA254" s="89">
        <f>V254+R254+O254+L254</f>
        <v>1</v>
      </c>
      <c r="AB254" s="89"/>
      <c r="AC254" s="89"/>
    </row>
    <row r="255" spans="1:29" ht="21" customHeight="1" x14ac:dyDescent="0.3">
      <c r="A255" s="53" t="s">
        <v>35</v>
      </c>
      <c r="B255" s="54"/>
      <c r="C255" s="54"/>
      <c r="D255" s="54"/>
      <c r="E255" s="54"/>
      <c r="F255" s="54"/>
      <c r="G255" s="54"/>
      <c r="H255" s="54"/>
      <c r="I255" s="54"/>
      <c r="J255" s="54"/>
      <c r="K255" s="55"/>
      <c r="L255" s="56">
        <v>2</v>
      </c>
      <c r="M255" s="56"/>
      <c r="N255" s="56"/>
      <c r="O255" s="56">
        <v>0</v>
      </c>
      <c r="P255" s="56"/>
      <c r="Q255" s="56"/>
      <c r="R255" s="56">
        <v>0</v>
      </c>
      <c r="S255" s="56"/>
      <c r="T255" s="56"/>
      <c r="U255" s="57"/>
      <c r="V255" s="56">
        <v>0</v>
      </c>
      <c r="W255" s="56"/>
      <c r="X255" s="56"/>
      <c r="Y255" s="56"/>
      <c r="Z255" s="56"/>
      <c r="AA255" s="89">
        <f>V255+R255+O255+L255</f>
        <v>2</v>
      </c>
      <c r="AB255" s="89"/>
      <c r="AC255" s="89"/>
    </row>
    <row r="256" spans="1:29" ht="4.5" customHeight="1" x14ac:dyDescent="0.25"/>
    <row r="257" spans="1:36" ht="12.75" customHeight="1" x14ac:dyDescent="0.25">
      <c r="A257" s="95" t="s">
        <v>36</v>
      </c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</row>
    <row r="258" spans="1:36" ht="12.75" customHeight="1" x14ac:dyDescent="0.25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</row>
    <row r="259" spans="1:36" ht="0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36" ht="17.25" customHeight="1" x14ac:dyDescent="0.25">
      <c r="J260" s="96" t="s">
        <v>9</v>
      </c>
      <c r="K260" s="97"/>
      <c r="L260" s="98" t="s">
        <v>10</v>
      </c>
      <c r="M260" s="94"/>
      <c r="N260" s="94" t="s">
        <v>3</v>
      </c>
      <c r="O260" s="94"/>
      <c r="P260" s="94" t="s">
        <v>4</v>
      </c>
      <c r="Q260" s="94"/>
      <c r="R260" s="94" t="s">
        <v>5</v>
      </c>
      <c r="S260" s="94"/>
      <c r="T260" s="94" t="s">
        <v>6</v>
      </c>
      <c r="U260" s="94"/>
      <c r="V260" s="94" t="s">
        <v>7</v>
      </c>
      <c r="W260" s="94"/>
      <c r="X260" s="94" t="s">
        <v>11</v>
      </c>
      <c r="Y260" s="94"/>
      <c r="Z260" s="99" t="s">
        <v>49</v>
      </c>
      <c r="AA260" s="99"/>
      <c r="AB260" s="94" t="s">
        <v>0</v>
      </c>
      <c r="AC260" s="94"/>
    </row>
    <row r="261" spans="1:36" ht="17.25" customHeight="1" x14ac:dyDescent="0.25">
      <c r="J261" s="2" t="s">
        <v>1</v>
      </c>
      <c r="K261" s="2" t="s">
        <v>2</v>
      </c>
      <c r="L261" s="2" t="s">
        <v>1</v>
      </c>
      <c r="M261" s="2" t="s">
        <v>2</v>
      </c>
      <c r="N261" s="2" t="s">
        <v>1</v>
      </c>
      <c r="O261" s="2" t="s">
        <v>2</v>
      </c>
      <c r="P261" s="2" t="s">
        <v>1</v>
      </c>
      <c r="Q261" s="2" t="s">
        <v>2</v>
      </c>
      <c r="R261" s="2" t="s">
        <v>1</v>
      </c>
      <c r="S261" s="2" t="s">
        <v>2</v>
      </c>
      <c r="T261" s="2" t="s">
        <v>1</v>
      </c>
      <c r="U261" s="2" t="s">
        <v>2</v>
      </c>
      <c r="V261" s="2" t="s">
        <v>1</v>
      </c>
      <c r="W261" s="2" t="s">
        <v>2</v>
      </c>
      <c r="X261" s="2" t="s">
        <v>1</v>
      </c>
      <c r="Y261" s="2" t="s">
        <v>2</v>
      </c>
      <c r="Z261" s="17" t="s">
        <v>1</v>
      </c>
      <c r="AA261" s="17" t="s">
        <v>2</v>
      </c>
      <c r="AB261" s="94"/>
      <c r="AC261" s="94"/>
    </row>
    <row r="262" spans="1:36" ht="18.75" customHeight="1" x14ac:dyDescent="0.25">
      <c r="A262" s="90" t="s">
        <v>71</v>
      </c>
      <c r="B262" s="91"/>
      <c r="C262" s="91"/>
      <c r="D262" s="91"/>
      <c r="E262" s="91"/>
      <c r="F262" s="91"/>
      <c r="G262" s="91"/>
      <c r="H262" s="91"/>
      <c r="I262" s="92"/>
      <c r="J262" s="26">
        <v>0</v>
      </c>
      <c r="K262" s="26">
        <v>0</v>
      </c>
      <c r="L262" s="26">
        <v>0</v>
      </c>
      <c r="M262" s="26">
        <v>1</v>
      </c>
      <c r="N262" s="26">
        <v>2</v>
      </c>
      <c r="O262" s="26">
        <v>4</v>
      </c>
      <c r="P262" s="26">
        <v>3</v>
      </c>
      <c r="Q262" s="26">
        <v>3</v>
      </c>
      <c r="R262" s="26">
        <v>2</v>
      </c>
      <c r="S262" s="26">
        <v>1</v>
      </c>
      <c r="T262" s="26">
        <v>1</v>
      </c>
      <c r="U262" s="26">
        <v>2</v>
      </c>
      <c r="V262" s="26">
        <v>3</v>
      </c>
      <c r="W262" s="26">
        <v>2</v>
      </c>
      <c r="X262" s="26">
        <v>2</v>
      </c>
      <c r="Y262" s="26">
        <v>2</v>
      </c>
      <c r="Z262" s="18">
        <f>X262+V262+T262+R262+P262+N262+L262+J262</f>
        <v>13</v>
      </c>
      <c r="AA262" s="18">
        <f>Y262+W262+U262+S262+Q262+O262+M262+K262</f>
        <v>15</v>
      </c>
      <c r="AB262" s="93">
        <f t="shared" ref="AB262:AB267" si="10">AA262+Z262</f>
        <v>28</v>
      </c>
      <c r="AC262" s="93"/>
    </row>
    <row r="263" spans="1:36" ht="18.75" customHeight="1" x14ac:dyDescent="0.25">
      <c r="A263" s="53" t="s">
        <v>37</v>
      </c>
      <c r="B263" s="54"/>
      <c r="C263" s="54"/>
      <c r="D263" s="54"/>
      <c r="E263" s="54"/>
      <c r="F263" s="54"/>
      <c r="G263" s="54"/>
      <c r="H263" s="54"/>
      <c r="I263" s="55"/>
      <c r="J263" s="26">
        <v>0</v>
      </c>
      <c r="K263" s="26">
        <v>0</v>
      </c>
      <c r="L263" s="26">
        <v>0</v>
      </c>
      <c r="M263" s="26">
        <v>0</v>
      </c>
      <c r="N263" s="26">
        <v>2</v>
      </c>
      <c r="O263" s="26">
        <v>2</v>
      </c>
      <c r="P263" s="26">
        <v>1</v>
      </c>
      <c r="Q263" s="26">
        <v>0</v>
      </c>
      <c r="R263" s="26">
        <v>1</v>
      </c>
      <c r="S263" s="26">
        <v>0</v>
      </c>
      <c r="T263" s="26">
        <v>2</v>
      </c>
      <c r="U263" s="26">
        <v>0</v>
      </c>
      <c r="V263" s="26">
        <v>0</v>
      </c>
      <c r="W263" s="26">
        <v>2</v>
      </c>
      <c r="X263" s="26">
        <v>0</v>
      </c>
      <c r="Y263" s="26">
        <v>0</v>
      </c>
      <c r="Z263" s="18">
        <f t="shared" ref="Z263:AA267" si="11">X263+V263+T263+R263+P263+N263+L263+J263</f>
        <v>6</v>
      </c>
      <c r="AA263" s="18">
        <f t="shared" si="11"/>
        <v>4</v>
      </c>
      <c r="AB263" s="93">
        <f t="shared" si="10"/>
        <v>10</v>
      </c>
      <c r="AC263" s="93"/>
    </row>
    <row r="264" spans="1:36" ht="24" customHeight="1" x14ac:dyDescent="0.25">
      <c r="A264" s="90" t="s">
        <v>72</v>
      </c>
      <c r="B264" s="91"/>
      <c r="C264" s="91"/>
      <c r="D264" s="91"/>
      <c r="E264" s="91"/>
      <c r="F264" s="91"/>
      <c r="G264" s="91"/>
      <c r="H264" s="91"/>
      <c r="I264" s="92"/>
      <c r="J264" s="26">
        <v>0</v>
      </c>
      <c r="K264" s="26">
        <v>0</v>
      </c>
      <c r="L264" s="26">
        <v>0</v>
      </c>
      <c r="M264" s="26">
        <v>0</v>
      </c>
      <c r="N264" s="26">
        <v>0</v>
      </c>
      <c r="O264" s="26">
        <v>0</v>
      </c>
      <c r="P264" s="26">
        <v>0</v>
      </c>
      <c r="Q264" s="26">
        <v>0</v>
      </c>
      <c r="R264" s="26">
        <v>0</v>
      </c>
      <c r="S264" s="26">
        <v>0</v>
      </c>
      <c r="T264" s="26">
        <v>0</v>
      </c>
      <c r="U264" s="26">
        <v>0</v>
      </c>
      <c r="V264" s="26">
        <v>0</v>
      </c>
      <c r="W264" s="26">
        <v>1</v>
      </c>
      <c r="X264" s="26">
        <v>0</v>
      </c>
      <c r="Y264" s="26">
        <v>0</v>
      </c>
      <c r="Z264" s="18">
        <f t="shared" si="11"/>
        <v>0</v>
      </c>
      <c r="AA264" s="18">
        <f t="shared" si="11"/>
        <v>1</v>
      </c>
      <c r="AB264" s="93">
        <f t="shared" si="10"/>
        <v>1</v>
      </c>
      <c r="AC264" s="93"/>
    </row>
    <row r="265" spans="1:36" ht="18.75" customHeight="1" x14ac:dyDescent="0.25">
      <c r="A265" s="90" t="s">
        <v>38</v>
      </c>
      <c r="B265" s="91"/>
      <c r="C265" s="91"/>
      <c r="D265" s="91"/>
      <c r="E265" s="91"/>
      <c r="F265" s="91"/>
      <c r="G265" s="91"/>
      <c r="H265" s="91"/>
      <c r="I265" s="92"/>
      <c r="J265" s="26">
        <v>0</v>
      </c>
      <c r="K265" s="26">
        <v>0</v>
      </c>
      <c r="L265" s="26">
        <v>0</v>
      </c>
      <c r="M265" s="26">
        <v>0</v>
      </c>
      <c r="N265" s="26">
        <v>0</v>
      </c>
      <c r="O265" s="26">
        <v>1</v>
      </c>
      <c r="P265" s="26">
        <v>0</v>
      </c>
      <c r="Q265" s="26">
        <v>0</v>
      </c>
      <c r="R265" s="26">
        <v>1</v>
      </c>
      <c r="S265" s="26">
        <v>0</v>
      </c>
      <c r="T265" s="26">
        <v>0</v>
      </c>
      <c r="U265" s="26">
        <v>0</v>
      </c>
      <c r="V265" s="26">
        <v>0</v>
      </c>
      <c r="W265" s="26">
        <v>0</v>
      </c>
      <c r="X265" s="26">
        <v>0</v>
      </c>
      <c r="Y265" s="26">
        <v>0</v>
      </c>
      <c r="Z265" s="18">
        <f t="shared" si="11"/>
        <v>1</v>
      </c>
      <c r="AA265" s="18">
        <f t="shared" si="11"/>
        <v>1</v>
      </c>
      <c r="AB265" s="93">
        <f t="shared" si="10"/>
        <v>2</v>
      </c>
      <c r="AC265" s="93"/>
    </row>
    <row r="266" spans="1:36" ht="18.75" customHeight="1" x14ac:dyDescent="0.25">
      <c r="A266" s="90" t="s">
        <v>39</v>
      </c>
      <c r="B266" s="91"/>
      <c r="C266" s="91"/>
      <c r="D266" s="91"/>
      <c r="E266" s="91"/>
      <c r="F266" s="91"/>
      <c r="G266" s="91"/>
      <c r="H266" s="91"/>
      <c r="I266" s="92"/>
      <c r="J266" s="26">
        <v>0</v>
      </c>
      <c r="K266" s="26">
        <v>0</v>
      </c>
      <c r="L266" s="26">
        <v>0</v>
      </c>
      <c r="M266" s="26">
        <v>0</v>
      </c>
      <c r="N266" s="26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6">
        <v>0</v>
      </c>
      <c r="W266" s="26">
        <v>0</v>
      </c>
      <c r="X266" s="26">
        <v>0</v>
      </c>
      <c r="Y266" s="26">
        <v>0</v>
      </c>
      <c r="Z266" s="18">
        <f t="shared" si="11"/>
        <v>0</v>
      </c>
      <c r="AA266" s="18">
        <f t="shared" si="11"/>
        <v>0</v>
      </c>
      <c r="AB266" s="93">
        <f t="shared" si="10"/>
        <v>0</v>
      </c>
      <c r="AC266" s="93"/>
    </row>
    <row r="267" spans="1:36" ht="18.75" customHeight="1" x14ac:dyDescent="0.25">
      <c r="A267" s="90" t="s">
        <v>17</v>
      </c>
      <c r="B267" s="91"/>
      <c r="C267" s="91"/>
      <c r="D267" s="91"/>
      <c r="E267" s="91"/>
      <c r="F267" s="91"/>
      <c r="G267" s="91"/>
      <c r="H267" s="91"/>
      <c r="I267" s="92"/>
      <c r="J267" s="26">
        <v>0</v>
      </c>
      <c r="K267" s="26">
        <v>0</v>
      </c>
      <c r="L267" s="26">
        <v>0</v>
      </c>
      <c r="M267" s="26">
        <v>0</v>
      </c>
      <c r="N267" s="26">
        <v>0</v>
      </c>
      <c r="O267" s="26">
        <v>0</v>
      </c>
      <c r="P267" s="26">
        <v>0</v>
      </c>
      <c r="Q267" s="26">
        <v>0</v>
      </c>
      <c r="R267" s="26">
        <v>0</v>
      </c>
      <c r="S267" s="26">
        <v>0</v>
      </c>
      <c r="T267" s="26">
        <v>0</v>
      </c>
      <c r="U267" s="26">
        <v>0</v>
      </c>
      <c r="V267" s="26">
        <v>0</v>
      </c>
      <c r="W267" s="26">
        <v>0</v>
      </c>
      <c r="X267" s="26">
        <v>0</v>
      </c>
      <c r="Y267" s="26">
        <v>1</v>
      </c>
      <c r="Z267" s="18">
        <f t="shared" si="11"/>
        <v>0</v>
      </c>
      <c r="AA267" s="18">
        <f t="shared" si="11"/>
        <v>1</v>
      </c>
      <c r="AB267" s="93">
        <f t="shared" si="10"/>
        <v>1</v>
      </c>
      <c r="AC267" s="93"/>
    </row>
    <row r="268" spans="1:36" ht="9" customHeight="1" x14ac:dyDescent="0.25"/>
    <row r="269" spans="1:36" ht="1.5" hidden="1" customHeight="1" x14ac:dyDescent="0.25"/>
    <row r="270" spans="1:36" ht="15.75" x14ac:dyDescent="0.25">
      <c r="A270" s="4" t="s">
        <v>73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N270" s="4" t="s">
        <v>20</v>
      </c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36" ht="15" customHeight="1" x14ac:dyDescent="0.25">
      <c r="A271" s="123" t="s">
        <v>74</v>
      </c>
      <c r="B271" s="123"/>
      <c r="C271" s="123"/>
      <c r="D271" s="123"/>
      <c r="E271" s="50" t="s">
        <v>75</v>
      </c>
      <c r="F271" s="50"/>
      <c r="G271" s="50"/>
      <c r="H271" s="50"/>
      <c r="I271" s="50" t="s">
        <v>76</v>
      </c>
      <c r="J271" s="50"/>
      <c r="K271" s="50"/>
      <c r="L271" s="50"/>
      <c r="M271" s="9"/>
      <c r="N271" s="124" t="s">
        <v>77</v>
      </c>
      <c r="O271" s="125"/>
      <c r="P271" s="125"/>
      <c r="Q271" s="125"/>
      <c r="R271" s="125"/>
      <c r="S271" s="126"/>
      <c r="T271" s="50" t="s">
        <v>21</v>
      </c>
      <c r="U271" s="50"/>
      <c r="V271" s="50" t="s">
        <v>22</v>
      </c>
      <c r="W271" s="50"/>
      <c r="X271" s="50"/>
      <c r="Y271" s="50"/>
      <c r="Z271" s="50"/>
      <c r="AA271" s="50" t="s">
        <v>23</v>
      </c>
      <c r="AB271" s="50"/>
      <c r="AC271" s="50"/>
      <c r="AD271" s="10"/>
      <c r="AE271" s="3"/>
      <c r="AG271" s="9"/>
      <c r="AH271" s="9"/>
      <c r="AI271" s="9"/>
      <c r="AJ271" s="9"/>
    </row>
    <row r="272" spans="1:36" ht="51" customHeight="1" x14ac:dyDescent="0.25">
      <c r="A272" s="123"/>
      <c r="B272" s="123"/>
      <c r="C272" s="123"/>
      <c r="D272" s="123"/>
      <c r="E272" s="50"/>
      <c r="F272" s="50"/>
      <c r="G272" s="50"/>
      <c r="H272" s="50"/>
      <c r="I272" s="50"/>
      <c r="J272" s="50"/>
      <c r="K272" s="50"/>
      <c r="L272" s="50"/>
      <c r="M272" s="20"/>
      <c r="N272" s="101"/>
      <c r="O272" s="102"/>
      <c r="P272" s="102"/>
      <c r="Q272" s="102"/>
      <c r="R272" s="102"/>
      <c r="S272" s="127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10"/>
      <c r="AE272" s="3"/>
      <c r="AG272" s="21"/>
      <c r="AH272" s="21"/>
      <c r="AI272" s="21"/>
      <c r="AJ272" s="9"/>
    </row>
    <row r="273" spans="1:40" ht="48.75" customHeight="1" x14ac:dyDescent="0.25">
      <c r="A273" s="50" t="s">
        <v>78</v>
      </c>
      <c r="B273" s="50"/>
      <c r="C273" s="52" t="s">
        <v>79</v>
      </c>
      <c r="D273" s="116"/>
      <c r="E273" s="50" t="s">
        <v>78</v>
      </c>
      <c r="F273" s="50"/>
      <c r="G273" s="50" t="s">
        <v>79</v>
      </c>
      <c r="H273" s="50"/>
      <c r="I273" s="117" t="s">
        <v>80</v>
      </c>
      <c r="J273" s="117"/>
      <c r="K273" s="50" t="s">
        <v>81</v>
      </c>
      <c r="L273" s="50"/>
      <c r="M273" s="20"/>
      <c r="N273" s="118" t="s">
        <v>82</v>
      </c>
      <c r="O273" s="119"/>
      <c r="P273" s="120"/>
      <c r="Q273" s="121" t="s">
        <v>83</v>
      </c>
      <c r="R273" s="122"/>
      <c r="S273" s="122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10"/>
      <c r="AE273" s="22"/>
      <c r="AG273" s="21"/>
      <c r="AH273" s="21"/>
      <c r="AI273" s="21"/>
      <c r="AJ273" s="9"/>
    </row>
    <row r="274" spans="1:40" ht="21.75" customHeight="1" x14ac:dyDescent="0.25">
      <c r="A274" s="56">
        <v>0</v>
      </c>
      <c r="B274" s="56"/>
      <c r="C274" s="139">
        <v>271</v>
      </c>
      <c r="D274" s="140"/>
      <c r="E274" s="134">
        <v>0</v>
      </c>
      <c r="F274" s="134"/>
      <c r="G274" s="134">
        <v>29</v>
      </c>
      <c r="H274" s="134"/>
      <c r="I274" s="134">
        <v>0</v>
      </c>
      <c r="J274" s="134"/>
      <c r="K274" s="134">
        <v>0</v>
      </c>
      <c r="L274" s="134"/>
      <c r="M274" s="20"/>
      <c r="N274" s="100">
        <v>42</v>
      </c>
      <c r="O274" s="100"/>
      <c r="P274" s="100"/>
      <c r="Q274" s="101">
        <v>41</v>
      </c>
      <c r="R274" s="102"/>
      <c r="S274" s="102"/>
      <c r="T274" s="103">
        <v>1</v>
      </c>
      <c r="U274" s="103"/>
      <c r="V274" s="103">
        <v>1</v>
      </c>
      <c r="W274" s="103"/>
      <c r="X274" s="103"/>
      <c r="Y274" s="103"/>
      <c r="Z274" s="103"/>
      <c r="AA274" s="104">
        <v>1</v>
      </c>
      <c r="AB274" s="104"/>
      <c r="AC274" s="104"/>
      <c r="AD274" s="22"/>
      <c r="AE274" s="23"/>
      <c r="AG274" s="9"/>
      <c r="AH274" s="9"/>
      <c r="AI274" s="9"/>
      <c r="AJ274" s="9"/>
    </row>
    <row r="275" spans="1:40" ht="6" customHeight="1" x14ac:dyDescent="0.25">
      <c r="L275" s="24"/>
      <c r="AG275" s="9"/>
      <c r="AH275" s="9"/>
      <c r="AI275" s="9"/>
      <c r="AJ275" s="9"/>
    </row>
    <row r="276" spans="1:40" ht="15.75" x14ac:dyDescent="0.25">
      <c r="A276" s="4" t="s">
        <v>24</v>
      </c>
      <c r="B276" s="19"/>
      <c r="C276" s="19"/>
      <c r="D276" s="19"/>
      <c r="E276" s="19"/>
      <c r="M276" s="19"/>
      <c r="N276" s="4" t="s">
        <v>25</v>
      </c>
      <c r="O276" s="19"/>
      <c r="AG276" s="9"/>
      <c r="AH276" s="9"/>
      <c r="AI276" s="9"/>
      <c r="AJ276" s="9"/>
    </row>
    <row r="277" spans="1:40" ht="15" customHeight="1" x14ac:dyDescent="0.25">
      <c r="A277" s="50" t="s">
        <v>26</v>
      </c>
      <c r="B277" s="50"/>
      <c r="C277" s="50"/>
      <c r="D277" s="50"/>
      <c r="E277" s="50"/>
      <c r="F277" s="105" t="s">
        <v>27</v>
      </c>
      <c r="G277" s="106"/>
      <c r="H277" s="106"/>
      <c r="I277" s="106"/>
      <c r="J277" s="106"/>
      <c r="K277" s="106"/>
      <c r="L277" s="107"/>
      <c r="M277" s="24"/>
      <c r="N277" s="50" t="s">
        <v>84</v>
      </c>
      <c r="O277" s="50"/>
      <c r="P277" s="50"/>
      <c r="Q277" s="50"/>
      <c r="R277" s="105" t="s">
        <v>28</v>
      </c>
      <c r="S277" s="106"/>
      <c r="T277" s="106"/>
      <c r="U277" s="107"/>
      <c r="V277" s="50" t="s">
        <v>29</v>
      </c>
      <c r="W277" s="50"/>
      <c r="X277" s="50"/>
      <c r="Y277" s="50"/>
      <c r="Z277" s="50"/>
      <c r="AA277" s="106" t="s">
        <v>85</v>
      </c>
      <c r="AB277" s="106"/>
      <c r="AC277" s="107"/>
    </row>
    <row r="278" spans="1:40" x14ac:dyDescent="0.25">
      <c r="A278" s="50"/>
      <c r="B278" s="50"/>
      <c r="C278" s="50"/>
      <c r="D278" s="50"/>
      <c r="E278" s="50"/>
      <c r="F278" s="108"/>
      <c r="G278" s="109"/>
      <c r="H278" s="109"/>
      <c r="I278" s="109"/>
      <c r="J278" s="109"/>
      <c r="K278" s="109"/>
      <c r="L278" s="110"/>
      <c r="M278" s="24"/>
      <c r="N278" s="50"/>
      <c r="O278" s="50"/>
      <c r="P278" s="50"/>
      <c r="Q278" s="50"/>
      <c r="R278" s="108"/>
      <c r="S278" s="109"/>
      <c r="T278" s="109"/>
      <c r="U278" s="110"/>
      <c r="V278" s="50"/>
      <c r="W278" s="50"/>
      <c r="X278" s="50"/>
      <c r="Y278" s="50"/>
      <c r="Z278" s="50"/>
      <c r="AA278" s="109"/>
      <c r="AB278" s="109"/>
      <c r="AC278" s="110"/>
    </row>
    <row r="279" spans="1:40" x14ac:dyDescent="0.25">
      <c r="A279" s="50"/>
      <c r="B279" s="50"/>
      <c r="C279" s="50"/>
      <c r="D279" s="50"/>
      <c r="E279" s="50"/>
      <c r="F279" s="111"/>
      <c r="G279" s="112"/>
      <c r="H279" s="112"/>
      <c r="I279" s="112"/>
      <c r="J279" s="112"/>
      <c r="K279" s="112"/>
      <c r="L279" s="113"/>
      <c r="M279" s="24"/>
      <c r="N279" s="50"/>
      <c r="O279" s="50"/>
      <c r="P279" s="50"/>
      <c r="Q279" s="50"/>
      <c r="R279" s="111"/>
      <c r="S279" s="112"/>
      <c r="T279" s="112"/>
      <c r="U279" s="113"/>
      <c r="V279" s="50"/>
      <c r="W279" s="50"/>
      <c r="X279" s="50"/>
      <c r="Y279" s="50"/>
      <c r="Z279" s="50"/>
      <c r="AA279" s="112"/>
      <c r="AB279" s="112"/>
      <c r="AC279" s="113"/>
    </row>
    <row r="280" spans="1:40" ht="21.75" customHeight="1" x14ac:dyDescent="0.25">
      <c r="A280" s="50">
        <v>33</v>
      </c>
      <c r="B280" s="50"/>
      <c r="C280" s="50"/>
      <c r="D280" s="50"/>
      <c r="E280" s="50"/>
      <c r="F280" s="111">
        <v>1</v>
      </c>
      <c r="G280" s="112"/>
      <c r="H280" s="112"/>
      <c r="I280" s="112"/>
      <c r="J280" s="112"/>
      <c r="K280" s="112"/>
      <c r="L280" s="113"/>
      <c r="M280" s="24"/>
      <c r="N280" s="50">
        <v>4</v>
      </c>
      <c r="O280" s="50"/>
      <c r="P280" s="50"/>
      <c r="Q280" s="50"/>
      <c r="R280" s="111">
        <v>28</v>
      </c>
      <c r="S280" s="112"/>
      <c r="T280" s="112"/>
      <c r="U280" s="113"/>
      <c r="V280" s="50">
        <v>84</v>
      </c>
      <c r="W280" s="50"/>
      <c r="X280" s="50"/>
      <c r="Y280" s="50"/>
      <c r="Z280" s="50"/>
      <c r="AA280" s="112">
        <v>2</v>
      </c>
      <c r="AB280" s="112"/>
      <c r="AC280" s="113"/>
      <c r="AJ280" s="15" t="s">
        <v>95</v>
      </c>
    </row>
    <row r="281" spans="1:40" x14ac:dyDescent="0.25">
      <c r="A281" s="16"/>
      <c r="B281" s="16" t="s">
        <v>86</v>
      </c>
      <c r="C281" s="7" t="s">
        <v>87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40" x14ac:dyDescent="0.25">
      <c r="A282" s="16"/>
      <c r="B282" s="16" t="s">
        <v>12</v>
      </c>
      <c r="C282" s="7" t="s">
        <v>88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40" x14ac:dyDescent="0.25">
      <c r="A283" s="128"/>
      <c r="B283" s="16" t="s">
        <v>13</v>
      </c>
      <c r="C283" s="7" t="s">
        <v>89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40" ht="15" customHeight="1" x14ac:dyDescent="0.25">
      <c r="A284" s="128"/>
      <c r="B284" s="128" t="s">
        <v>14</v>
      </c>
      <c r="C284" s="137" t="s">
        <v>90</v>
      </c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27"/>
      <c r="AN284" s="15">
        <f ca="1">AN284:AO284</f>
        <v>0</v>
      </c>
    </row>
    <row r="285" spans="1:40" x14ac:dyDescent="0.25">
      <c r="B285" s="128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27"/>
    </row>
    <row r="286" spans="1:40" ht="12.75" customHeight="1" x14ac:dyDescent="0.25">
      <c r="M286" s="129" t="s">
        <v>19</v>
      </c>
      <c r="N286" s="129"/>
      <c r="O286" s="129"/>
      <c r="P286" s="129"/>
      <c r="Q286" s="129"/>
      <c r="R286" s="129"/>
      <c r="S286" s="11"/>
    </row>
    <row r="287" spans="1:40" x14ac:dyDescent="0.25">
      <c r="L287" s="12"/>
      <c r="M287" s="12"/>
      <c r="N287" s="12"/>
      <c r="O287" s="12"/>
      <c r="P287" s="13"/>
      <c r="R287" s="11"/>
      <c r="S287" s="11"/>
    </row>
    <row r="288" spans="1:40" x14ac:dyDescent="0.25">
      <c r="L288" s="9"/>
      <c r="R288" s="25"/>
      <c r="S288" s="25"/>
      <c r="T288" s="9"/>
      <c r="U288" s="9"/>
      <c r="V288" s="9"/>
      <c r="W288" s="9"/>
      <c r="X288" s="9"/>
      <c r="Y288" s="9"/>
      <c r="Z288" s="9"/>
    </row>
    <row r="289" spans="1:29" ht="15.6" customHeight="1" x14ac:dyDescent="0.25">
      <c r="L289" s="25"/>
      <c r="M289" s="130" t="s">
        <v>97</v>
      </c>
      <c r="N289" s="130"/>
      <c r="O289" s="130"/>
      <c r="P289" s="130"/>
      <c r="Q289" s="130"/>
      <c r="R289" s="130"/>
      <c r="S289" s="25"/>
      <c r="T289" s="9"/>
      <c r="U289" s="9"/>
      <c r="V289" s="9"/>
      <c r="W289" s="9"/>
      <c r="X289" s="9"/>
      <c r="Y289" s="9"/>
      <c r="Z289" s="9"/>
    </row>
    <row r="290" spans="1:29" ht="15.75" x14ac:dyDescent="0.25">
      <c r="L290" s="25"/>
      <c r="M290" s="131" t="s">
        <v>98</v>
      </c>
      <c r="N290" s="131"/>
      <c r="O290" s="131"/>
      <c r="P290" s="131"/>
      <c r="Q290" s="131"/>
      <c r="R290" s="131"/>
      <c r="S290" s="25"/>
      <c r="T290" s="9"/>
      <c r="U290" s="9"/>
      <c r="V290" s="9"/>
      <c r="W290" s="9"/>
      <c r="X290" s="9"/>
      <c r="Y290" s="9"/>
      <c r="Z290" s="9"/>
    </row>
    <row r="292" spans="1:29" ht="12.75" customHeight="1" x14ac:dyDescent="0.25"/>
    <row r="293" spans="1:29" ht="12.75" customHeight="1" x14ac:dyDescent="0.25"/>
    <row r="294" spans="1:29" ht="12.75" customHeight="1" x14ac:dyDescent="0.25">
      <c r="A294" s="34" t="s">
        <v>41</v>
      </c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spans="1:29" ht="12" customHeight="1" x14ac:dyDescent="0.25">
      <c r="A295" s="35" t="s">
        <v>30</v>
      </c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</row>
    <row r="296" spans="1:29" ht="12" customHeight="1" x14ac:dyDescent="0.25">
      <c r="A296" s="35" t="s">
        <v>46</v>
      </c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</row>
    <row r="297" spans="1:29" ht="12" customHeight="1" x14ac:dyDescent="0.25">
      <c r="A297" s="36" t="s">
        <v>62</v>
      </c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</row>
    <row r="298" spans="1:29" ht="12" customHeight="1" x14ac:dyDescent="0.25">
      <c r="A298" s="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5">
      <c r="A299" s="37" t="s">
        <v>63</v>
      </c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 spans="1:29" ht="6" customHeight="1" x14ac:dyDescent="0.25"/>
    <row r="301" spans="1:29" ht="12.75" customHeight="1" x14ac:dyDescent="0.25">
      <c r="A301" s="38" t="s">
        <v>64</v>
      </c>
      <c r="B301" s="39"/>
      <c r="C301" s="39"/>
      <c r="D301" s="39"/>
      <c r="E301" s="39"/>
      <c r="F301" s="39"/>
      <c r="G301" s="39"/>
      <c r="H301" s="40"/>
      <c r="I301" s="38" t="s">
        <v>65</v>
      </c>
      <c r="J301" s="39"/>
      <c r="K301" s="39"/>
      <c r="L301" s="39"/>
      <c r="M301" s="39"/>
      <c r="N301" s="39"/>
      <c r="O301" s="39"/>
      <c r="P301" s="39"/>
      <c r="Q301" s="40"/>
      <c r="R301" s="38" t="s">
        <v>18</v>
      </c>
      <c r="S301" s="39"/>
      <c r="T301" s="39"/>
      <c r="U301" s="40"/>
      <c r="V301" s="41" t="s">
        <v>66</v>
      </c>
      <c r="W301" s="42"/>
      <c r="X301" s="42"/>
      <c r="Y301" s="42"/>
      <c r="Z301" s="42"/>
      <c r="AA301" s="42"/>
      <c r="AB301" s="42"/>
      <c r="AC301" s="43"/>
    </row>
    <row r="302" spans="1:29" ht="12.75" customHeight="1" x14ac:dyDescent="0.25">
      <c r="A302" s="47" t="s">
        <v>40</v>
      </c>
      <c r="B302" s="48"/>
      <c r="C302" s="48"/>
      <c r="D302" s="48"/>
      <c r="E302" s="48"/>
      <c r="F302" s="48"/>
      <c r="G302" s="48"/>
      <c r="H302" s="49"/>
      <c r="I302" s="47" t="s">
        <v>61</v>
      </c>
      <c r="J302" s="48"/>
      <c r="K302" s="48"/>
      <c r="L302" s="48"/>
      <c r="M302" s="48"/>
      <c r="N302" s="48"/>
      <c r="O302" s="48"/>
      <c r="P302" s="48"/>
      <c r="Q302" s="49"/>
      <c r="R302" s="58">
        <v>2025</v>
      </c>
      <c r="S302" s="59"/>
      <c r="T302" s="59"/>
      <c r="U302" s="60"/>
      <c r="V302" s="44"/>
      <c r="W302" s="45"/>
      <c r="X302" s="45"/>
      <c r="Y302" s="45"/>
      <c r="Z302" s="45"/>
      <c r="AA302" s="45"/>
      <c r="AB302" s="45"/>
      <c r="AC302" s="46"/>
    </row>
    <row r="303" spans="1:29" ht="12.75" customHeight="1" x14ac:dyDescent="0.25">
      <c r="A303" s="61" t="s">
        <v>67</v>
      </c>
      <c r="B303" s="62"/>
      <c r="C303" s="62"/>
      <c r="D303" s="62"/>
      <c r="E303" s="62"/>
      <c r="F303" s="62"/>
      <c r="G303" s="62"/>
      <c r="H303" s="63"/>
      <c r="I303" s="38" t="s">
        <v>68</v>
      </c>
      <c r="J303" s="39"/>
      <c r="K303" s="39"/>
      <c r="L303" s="39"/>
      <c r="M303" s="39"/>
      <c r="N303" s="39"/>
      <c r="O303" s="39"/>
      <c r="P303" s="39"/>
      <c r="Q303" s="40"/>
      <c r="R303" s="64" t="s">
        <v>47</v>
      </c>
      <c r="S303" s="39"/>
      <c r="T303" s="39"/>
      <c r="U303" s="40"/>
      <c r="V303" s="65"/>
      <c r="W303" s="66"/>
      <c r="X303" s="66"/>
      <c r="Y303" s="66"/>
      <c r="Z303" s="66"/>
      <c r="AA303" s="66"/>
      <c r="AB303" s="66"/>
      <c r="AC303" s="67"/>
    </row>
    <row r="304" spans="1:29" ht="12.75" customHeight="1" x14ac:dyDescent="0.25">
      <c r="A304" s="71" t="s">
        <v>61</v>
      </c>
      <c r="B304" s="72"/>
      <c r="C304" s="72"/>
      <c r="D304" s="72"/>
      <c r="E304" s="72"/>
      <c r="F304" s="72"/>
      <c r="G304" s="72"/>
      <c r="H304" s="73"/>
      <c r="I304" s="77" t="s">
        <v>60</v>
      </c>
      <c r="J304" s="78"/>
      <c r="K304" s="78"/>
      <c r="L304" s="78"/>
      <c r="M304" s="78"/>
      <c r="N304" s="78"/>
      <c r="O304" s="78"/>
      <c r="P304" s="78"/>
      <c r="Q304" s="79"/>
      <c r="R304" s="83" t="s">
        <v>53</v>
      </c>
      <c r="S304" s="84"/>
      <c r="T304" s="84"/>
      <c r="U304" s="85"/>
      <c r="V304" s="65"/>
      <c r="W304" s="66"/>
      <c r="X304" s="66"/>
      <c r="Y304" s="66"/>
      <c r="Z304" s="66"/>
      <c r="AA304" s="66"/>
      <c r="AB304" s="66"/>
      <c r="AC304" s="67"/>
    </row>
    <row r="305" spans="1:36" ht="6.75" customHeight="1" x14ac:dyDescent="0.25">
      <c r="A305" s="74"/>
      <c r="B305" s="75"/>
      <c r="C305" s="75"/>
      <c r="D305" s="75"/>
      <c r="E305" s="75"/>
      <c r="F305" s="75"/>
      <c r="G305" s="75"/>
      <c r="H305" s="76"/>
      <c r="I305" s="80"/>
      <c r="J305" s="81"/>
      <c r="K305" s="81"/>
      <c r="L305" s="81"/>
      <c r="M305" s="81"/>
      <c r="N305" s="81"/>
      <c r="O305" s="81"/>
      <c r="P305" s="81"/>
      <c r="Q305" s="82"/>
      <c r="R305" s="86"/>
      <c r="S305" s="87"/>
      <c r="T305" s="87"/>
      <c r="U305" s="88"/>
      <c r="V305" s="68"/>
      <c r="W305" s="69"/>
      <c r="X305" s="69"/>
      <c r="Y305" s="69"/>
      <c r="Z305" s="69"/>
      <c r="AA305" s="69"/>
      <c r="AB305" s="69"/>
      <c r="AC305" s="70"/>
    </row>
    <row r="306" spans="1:36" ht="10.5" customHeight="1" x14ac:dyDescent="0.25"/>
    <row r="307" spans="1:36" ht="12" customHeight="1" x14ac:dyDescent="0.25">
      <c r="A307" s="4" t="s">
        <v>31</v>
      </c>
    </row>
    <row r="308" spans="1:36" ht="12.75" customHeight="1" x14ac:dyDescent="0.25">
      <c r="L308" s="50" t="s">
        <v>15</v>
      </c>
      <c r="M308" s="50"/>
      <c r="N308" s="50"/>
      <c r="O308" s="51" t="s">
        <v>16</v>
      </c>
      <c r="P308" s="51"/>
      <c r="Q308" s="51"/>
      <c r="R308" s="50" t="s">
        <v>32</v>
      </c>
      <c r="S308" s="50"/>
      <c r="T308" s="50"/>
      <c r="U308" s="52"/>
      <c r="V308" s="51" t="s">
        <v>33</v>
      </c>
      <c r="W308" s="51"/>
      <c r="X308" s="51"/>
      <c r="Y308" s="51"/>
      <c r="Z308" s="51"/>
      <c r="AA308" s="51" t="s">
        <v>0</v>
      </c>
      <c r="AB308" s="51"/>
      <c r="AC308" s="51"/>
    </row>
    <row r="309" spans="1:36" ht="12.75" customHeight="1" x14ac:dyDescent="0.25">
      <c r="L309" s="50"/>
      <c r="M309" s="50"/>
      <c r="N309" s="50"/>
      <c r="O309" s="51"/>
      <c r="P309" s="51"/>
      <c r="Q309" s="51"/>
      <c r="R309" s="50"/>
      <c r="S309" s="50"/>
      <c r="T309" s="50"/>
      <c r="U309" s="52"/>
      <c r="V309" s="51"/>
      <c r="W309" s="51"/>
      <c r="X309" s="51"/>
      <c r="Y309" s="51"/>
      <c r="Z309" s="51"/>
      <c r="AA309" s="51"/>
      <c r="AB309" s="51"/>
      <c r="AC309" s="51"/>
    </row>
    <row r="310" spans="1:36" ht="20.25" customHeight="1" x14ac:dyDescent="0.3">
      <c r="A310" s="53" t="s">
        <v>69</v>
      </c>
      <c r="B310" s="54"/>
      <c r="C310" s="54"/>
      <c r="D310" s="54"/>
      <c r="E310" s="54"/>
      <c r="F310" s="54"/>
      <c r="G310" s="54"/>
      <c r="H310" s="54"/>
      <c r="I310" s="54"/>
      <c r="J310" s="54"/>
      <c r="K310" s="55"/>
      <c r="L310" s="56">
        <v>16</v>
      </c>
      <c r="M310" s="56"/>
      <c r="N310" s="56"/>
      <c r="O310" s="56">
        <v>0</v>
      </c>
      <c r="P310" s="56"/>
      <c r="Q310" s="56"/>
      <c r="R310" s="56">
        <v>0</v>
      </c>
      <c r="S310" s="56"/>
      <c r="T310" s="56"/>
      <c r="U310" s="57"/>
      <c r="V310" s="56">
        <v>0</v>
      </c>
      <c r="W310" s="56"/>
      <c r="X310" s="56"/>
      <c r="Y310" s="56"/>
      <c r="Z310" s="56"/>
      <c r="AA310" s="89">
        <f>V310+R310+O310+L310</f>
        <v>16</v>
      </c>
      <c r="AB310" s="89"/>
      <c r="AC310" s="89"/>
      <c r="AG310" s="28" t="s">
        <v>93</v>
      </c>
      <c r="AH310" s="28"/>
      <c r="AI310" s="28"/>
      <c r="AJ310" s="28"/>
    </row>
    <row r="311" spans="1:36" ht="20.25" customHeight="1" x14ac:dyDescent="0.3">
      <c r="A311" s="53" t="s">
        <v>34</v>
      </c>
      <c r="B311" s="54"/>
      <c r="C311" s="54"/>
      <c r="D311" s="54"/>
      <c r="E311" s="54"/>
      <c r="F311" s="54"/>
      <c r="G311" s="54"/>
      <c r="H311" s="54"/>
      <c r="I311" s="54"/>
      <c r="J311" s="54"/>
      <c r="K311" s="55"/>
      <c r="L311" s="56">
        <v>7</v>
      </c>
      <c r="M311" s="56"/>
      <c r="N311" s="56"/>
      <c r="O311" s="56">
        <v>0</v>
      </c>
      <c r="P311" s="56"/>
      <c r="Q311" s="56"/>
      <c r="R311" s="56">
        <v>0</v>
      </c>
      <c r="S311" s="56"/>
      <c r="T311" s="56"/>
      <c r="U311" s="57"/>
      <c r="V311" s="56">
        <v>1</v>
      </c>
      <c r="W311" s="56"/>
      <c r="X311" s="56"/>
      <c r="Y311" s="56"/>
      <c r="Z311" s="56"/>
      <c r="AA311" s="89">
        <f>V311+R311+O311+L311</f>
        <v>8</v>
      </c>
      <c r="AB311" s="89"/>
      <c r="AC311" s="89"/>
    </row>
    <row r="312" spans="1:36" ht="20.25" customHeight="1" x14ac:dyDescent="0.3">
      <c r="A312" s="53" t="s">
        <v>70</v>
      </c>
      <c r="B312" s="54"/>
      <c r="C312" s="54"/>
      <c r="D312" s="54"/>
      <c r="E312" s="54"/>
      <c r="F312" s="54"/>
      <c r="G312" s="54"/>
      <c r="H312" s="54"/>
      <c r="I312" s="54"/>
      <c r="J312" s="54"/>
      <c r="K312" s="55"/>
      <c r="L312" s="56">
        <v>0</v>
      </c>
      <c r="M312" s="56"/>
      <c r="N312" s="56"/>
      <c r="O312" s="56">
        <v>0</v>
      </c>
      <c r="P312" s="56"/>
      <c r="Q312" s="56"/>
      <c r="R312" s="56">
        <v>0</v>
      </c>
      <c r="S312" s="56"/>
      <c r="T312" s="56"/>
      <c r="U312" s="57"/>
      <c r="V312" s="56">
        <v>0</v>
      </c>
      <c r="W312" s="56"/>
      <c r="X312" s="56"/>
      <c r="Y312" s="56"/>
      <c r="Z312" s="56"/>
      <c r="AA312" s="89">
        <f>V312+R312+O312+L312</f>
        <v>0</v>
      </c>
      <c r="AB312" s="89"/>
      <c r="AC312" s="89"/>
    </row>
    <row r="313" spans="1:36" ht="21" customHeight="1" x14ac:dyDescent="0.3">
      <c r="A313" s="53" t="s">
        <v>35</v>
      </c>
      <c r="B313" s="54"/>
      <c r="C313" s="54"/>
      <c r="D313" s="54"/>
      <c r="E313" s="54"/>
      <c r="F313" s="54"/>
      <c r="G313" s="54"/>
      <c r="H313" s="54"/>
      <c r="I313" s="54"/>
      <c r="J313" s="54"/>
      <c r="K313" s="55"/>
      <c r="L313" s="56">
        <v>0</v>
      </c>
      <c r="M313" s="56"/>
      <c r="N313" s="56"/>
      <c r="O313" s="56">
        <v>0</v>
      </c>
      <c r="P313" s="56"/>
      <c r="Q313" s="56"/>
      <c r="R313" s="56">
        <v>0</v>
      </c>
      <c r="S313" s="56"/>
      <c r="T313" s="56"/>
      <c r="U313" s="57"/>
      <c r="V313" s="56">
        <v>0</v>
      </c>
      <c r="W313" s="56"/>
      <c r="X313" s="56"/>
      <c r="Y313" s="56"/>
      <c r="Z313" s="56"/>
      <c r="AA313" s="89">
        <f>V313+R313+O313+L313</f>
        <v>0</v>
      </c>
      <c r="AB313" s="89"/>
      <c r="AC313" s="89"/>
    </row>
    <row r="314" spans="1:36" ht="4.5" customHeight="1" x14ac:dyDescent="0.25"/>
    <row r="315" spans="1:36" ht="12.75" customHeight="1" x14ac:dyDescent="0.25">
      <c r="A315" s="95" t="s">
        <v>36</v>
      </c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</row>
    <row r="316" spans="1:36" ht="12.75" customHeight="1" x14ac:dyDescent="0.25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</row>
    <row r="317" spans="1:36" ht="0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36" ht="17.25" customHeight="1" x14ac:dyDescent="0.25">
      <c r="J318" s="96" t="s">
        <v>9</v>
      </c>
      <c r="K318" s="97"/>
      <c r="L318" s="98" t="s">
        <v>10</v>
      </c>
      <c r="M318" s="94"/>
      <c r="N318" s="94" t="s">
        <v>3</v>
      </c>
      <c r="O318" s="94"/>
      <c r="P318" s="94" t="s">
        <v>4</v>
      </c>
      <c r="Q318" s="94"/>
      <c r="R318" s="94" t="s">
        <v>5</v>
      </c>
      <c r="S318" s="94"/>
      <c r="T318" s="94" t="s">
        <v>6</v>
      </c>
      <c r="U318" s="94"/>
      <c r="V318" s="94" t="s">
        <v>7</v>
      </c>
      <c r="W318" s="94"/>
      <c r="X318" s="94" t="s">
        <v>11</v>
      </c>
      <c r="Y318" s="94"/>
      <c r="Z318" s="99" t="s">
        <v>49</v>
      </c>
      <c r="AA318" s="99"/>
      <c r="AB318" s="94" t="s">
        <v>0</v>
      </c>
      <c r="AC318" s="94"/>
    </row>
    <row r="319" spans="1:36" ht="17.25" customHeight="1" x14ac:dyDescent="0.25">
      <c r="J319" s="2" t="s">
        <v>1</v>
      </c>
      <c r="K319" s="2" t="s">
        <v>2</v>
      </c>
      <c r="L319" s="2" t="s">
        <v>1</v>
      </c>
      <c r="M319" s="2" t="s">
        <v>2</v>
      </c>
      <c r="N319" s="2" t="s">
        <v>1</v>
      </c>
      <c r="O319" s="2" t="s">
        <v>2</v>
      </c>
      <c r="P319" s="2" t="s">
        <v>1</v>
      </c>
      <c r="Q319" s="2" t="s">
        <v>2</v>
      </c>
      <c r="R319" s="2" t="s">
        <v>1</v>
      </c>
      <c r="S319" s="2" t="s">
        <v>2</v>
      </c>
      <c r="T319" s="2" t="s">
        <v>1</v>
      </c>
      <c r="U319" s="2" t="s">
        <v>2</v>
      </c>
      <c r="V319" s="2" t="s">
        <v>1</v>
      </c>
      <c r="W319" s="2" t="s">
        <v>2</v>
      </c>
      <c r="X319" s="2" t="s">
        <v>1</v>
      </c>
      <c r="Y319" s="2" t="s">
        <v>2</v>
      </c>
      <c r="Z319" s="17" t="s">
        <v>1</v>
      </c>
      <c r="AA319" s="17" t="s">
        <v>2</v>
      </c>
      <c r="AB319" s="94"/>
      <c r="AC319" s="94"/>
    </row>
    <row r="320" spans="1:36" ht="18.75" customHeight="1" x14ac:dyDescent="0.25">
      <c r="A320" s="90" t="s">
        <v>71</v>
      </c>
      <c r="B320" s="91"/>
      <c r="C320" s="91"/>
      <c r="D320" s="91"/>
      <c r="E320" s="91"/>
      <c r="F320" s="91"/>
      <c r="G320" s="91"/>
      <c r="H320" s="91"/>
      <c r="I320" s="92"/>
      <c r="J320" s="14">
        <v>0</v>
      </c>
      <c r="K320" s="14">
        <v>0</v>
      </c>
      <c r="L320" s="14">
        <v>0</v>
      </c>
      <c r="M320" s="14">
        <v>0</v>
      </c>
      <c r="N320" s="14">
        <v>3</v>
      </c>
      <c r="O320" s="14">
        <v>2</v>
      </c>
      <c r="P320" s="14">
        <v>3</v>
      </c>
      <c r="Q320" s="14">
        <v>0</v>
      </c>
      <c r="R320" s="14">
        <v>4</v>
      </c>
      <c r="S320" s="14">
        <v>1</v>
      </c>
      <c r="T320" s="14">
        <v>1</v>
      </c>
      <c r="U320" s="14">
        <v>0</v>
      </c>
      <c r="V320" s="14">
        <v>0</v>
      </c>
      <c r="W320" s="14">
        <v>1</v>
      </c>
      <c r="X320" s="14">
        <v>1</v>
      </c>
      <c r="Y320" s="14">
        <v>0</v>
      </c>
      <c r="Z320" s="18">
        <f>X320+V320+T320+R320+P320+N320+L320+J320</f>
        <v>12</v>
      </c>
      <c r="AA320" s="18">
        <f>Y320+W320+U320+S320+Q320+O320+M320+K320</f>
        <v>4</v>
      </c>
      <c r="AB320" s="93">
        <f t="shared" ref="AB320:AB325" si="12">AA320+Z320</f>
        <v>16</v>
      </c>
      <c r="AC320" s="93"/>
    </row>
    <row r="321" spans="1:36" ht="18.75" customHeight="1" x14ac:dyDescent="0.25">
      <c r="A321" s="53" t="s">
        <v>37</v>
      </c>
      <c r="B321" s="54"/>
      <c r="C321" s="54"/>
      <c r="D321" s="54"/>
      <c r="E321" s="54"/>
      <c r="F321" s="54"/>
      <c r="G321" s="54"/>
      <c r="H321" s="54"/>
      <c r="I321" s="55"/>
      <c r="J321" s="29">
        <v>0</v>
      </c>
      <c r="K321" s="29">
        <v>0</v>
      </c>
      <c r="L321" s="29">
        <v>0</v>
      </c>
      <c r="M321" s="29">
        <v>0</v>
      </c>
      <c r="N321" s="29">
        <v>1</v>
      </c>
      <c r="O321" s="29">
        <v>2</v>
      </c>
      <c r="P321" s="29">
        <v>1</v>
      </c>
      <c r="Q321" s="29">
        <v>0</v>
      </c>
      <c r="R321" s="29">
        <v>0</v>
      </c>
      <c r="S321" s="29">
        <v>1</v>
      </c>
      <c r="T321" s="29">
        <v>1</v>
      </c>
      <c r="U321" s="29">
        <v>0</v>
      </c>
      <c r="V321" s="29">
        <v>0</v>
      </c>
      <c r="W321" s="29">
        <v>0</v>
      </c>
      <c r="X321" s="29">
        <v>1</v>
      </c>
      <c r="Y321" s="29">
        <v>0</v>
      </c>
      <c r="Z321" s="18">
        <f t="shared" ref="Z321:AA325" si="13">X321+V321+T321+R321+P321+N321+L321+J321</f>
        <v>4</v>
      </c>
      <c r="AA321" s="18">
        <f t="shared" si="13"/>
        <v>3</v>
      </c>
      <c r="AB321" s="93">
        <f t="shared" si="12"/>
        <v>7</v>
      </c>
      <c r="AC321" s="93"/>
    </row>
    <row r="322" spans="1:36" ht="24" customHeight="1" x14ac:dyDescent="0.25">
      <c r="A322" s="90" t="s">
        <v>72</v>
      </c>
      <c r="B322" s="91"/>
      <c r="C322" s="91"/>
      <c r="D322" s="91"/>
      <c r="E322" s="91"/>
      <c r="F322" s="91"/>
      <c r="G322" s="91"/>
      <c r="H322" s="91"/>
      <c r="I322" s="92"/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0</v>
      </c>
      <c r="Z322" s="18">
        <f t="shared" si="13"/>
        <v>0</v>
      </c>
      <c r="AA322" s="18">
        <f t="shared" si="13"/>
        <v>0</v>
      </c>
      <c r="AB322" s="93">
        <f t="shared" si="12"/>
        <v>0</v>
      </c>
      <c r="AC322" s="93"/>
    </row>
    <row r="323" spans="1:36" ht="18.75" customHeight="1" x14ac:dyDescent="0.25">
      <c r="A323" s="90" t="s">
        <v>38</v>
      </c>
      <c r="B323" s="91"/>
      <c r="C323" s="91"/>
      <c r="D323" s="91"/>
      <c r="E323" s="91"/>
      <c r="F323" s="91"/>
      <c r="G323" s="91"/>
      <c r="H323" s="91"/>
      <c r="I323" s="92"/>
      <c r="J323" s="29">
        <v>0</v>
      </c>
      <c r="K323" s="29">
        <v>0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0</v>
      </c>
      <c r="Z323" s="18">
        <f t="shared" si="13"/>
        <v>0</v>
      </c>
      <c r="AA323" s="18">
        <f t="shared" si="13"/>
        <v>0</v>
      </c>
      <c r="AB323" s="93">
        <f t="shared" si="12"/>
        <v>0</v>
      </c>
      <c r="AC323" s="93"/>
    </row>
    <row r="324" spans="1:36" ht="18.75" customHeight="1" x14ac:dyDescent="0.25">
      <c r="A324" s="90" t="s">
        <v>39</v>
      </c>
      <c r="B324" s="91"/>
      <c r="C324" s="91"/>
      <c r="D324" s="91"/>
      <c r="E324" s="91"/>
      <c r="F324" s="91"/>
      <c r="G324" s="91"/>
      <c r="H324" s="91"/>
      <c r="I324" s="92"/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18">
        <f t="shared" si="13"/>
        <v>0</v>
      </c>
      <c r="AA324" s="18">
        <f t="shared" si="13"/>
        <v>0</v>
      </c>
      <c r="AB324" s="93">
        <f t="shared" si="12"/>
        <v>0</v>
      </c>
      <c r="AC324" s="93"/>
    </row>
    <row r="325" spans="1:36" ht="18.75" customHeight="1" x14ac:dyDescent="0.25">
      <c r="A325" s="90" t="s">
        <v>17</v>
      </c>
      <c r="B325" s="91"/>
      <c r="C325" s="91"/>
      <c r="D325" s="91"/>
      <c r="E325" s="91"/>
      <c r="F325" s="91"/>
      <c r="G325" s="91"/>
      <c r="H325" s="91"/>
      <c r="I325" s="92"/>
      <c r="J325" s="29">
        <v>0</v>
      </c>
      <c r="K325" s="29">
        <v>0</v>
      </c>
      <c r="L325" s="29">
        <v>0</v>
      </c>
      <c r="M325" s="29">
        <v>0</v>
      </c>
      <c r="N325" s="29">
        <v>0</v>
      </c>
      <c r="O325" s="29">
        <v>0</v>
      </c>
      <c r="P325" s="29">
        <v>0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1</v>
      </c>
      <c r="Y325" s="29">
        <v>0</v>
      </c>
      <c r="Z325" s="18">
        <f t="shared" si="13"/>
        <v>1</v>
      </c>
      <c r="AA325" s="18">
        <f t="shared" si="13"/>
        <v>0</v>
      </c>
      <c r="AB325" s="93">
        <f t="shared" si="12"/>
        <v>1</v>
      </c>
      <c r="AC325" s="93"/>
    </row>
    <row r="326" spans="1:36" ht="9" customHeight="1" x14ac:dyDescent="0.25"/>
    <row r="327" spans="1:36" ht="1.5" hidden="1" customHeight="1" x14ac:dyDescent="0.25"/>
    <row r="328" spans="1:36" ht="15.75" x14ac:dyDescent="0.25">
      <c r="A328" s="4" t="s">
        <v>73</v>
      </c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N328" s="4" t="s">
        <v>20</v>
      </c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36" ht="15" customHeight="1" x14ac:dyDescent="0.25">
      <c r="A329" s="123" t="s">
        <v>74</v>
      </c>
      <c r="B329" s="123"/>
      <c r="C329" s="123"/>
      <c r="D329" s="123"/>
      <c r="E329" s="50" t="s">
        <v>75</v>
      </c>
      <c r="F329" s="50"/>
      <c r="G329" s="50"/>
      <c r="H329" s="50"/>
      <c r="I329" s="50" t="s">
        <v>76</v>
      </c>
      <c r="J329" s="50"/>
      <c r="K329" s="50"/>
      <c r="L329" s="50"/>
      <c r="M329" s="9"/>
      <c r="N329" s="124" t="s">
        <v>77</v>
      </c>
      <c r="O329" s="125"/>
      <c r="P329" s="125"/>
      <c r="Q329" s="125"/>
      <c r="R329" s="125"/>
      <c r="S329" s="126"/>
      <c r="T329" s="50" t="s">
        <v>21</v>
      </c>
      <c r="U329" s="50"/>
      <c r="V329" s="50" t="s">
        <v>22</v>
      </c>
      <c r="W329" s="50"/>
      <c r="X329" s="50"/>
      <c r="Y329" s="50"/>
      <c r="Z329" s="50"/>
      <c r="AA329" s="50" t="s">
        <v>23</v>
      </c>
      <c r="AB329" s="50"/>
      <c r="AC329" s="50"/>
      <c r="AD329" s="10"/>
      <c r="AE329" s="3"/>
      <c r="AG329" s="9"/>
      <c r="AH329" s="9"/>
      <c r="AI329" s="9"/>
      <c r="AJ329" s="9"/>
    </row>
    <row r="330" spans="1:36" ht="51" customHeight="1" x14ac:dyDescent="0.25">
      <c r="A330" s="123"/>
      <c r="B330" s="123"/>
      <c r="C330" s="123"/>
      <c r="D330" s="123"/>
      <c r="E330" s="50"/>
      <c r="F330" s="50"/>
      <c r="G330" s="50"/>
      <c r="H330" s="50"/>
      <c r="I330" s="50"/>
      <c r="J330" s="50"/>
      <c r="K330" s="50"/>
      <c r="L330" s="50"/>
      <c r="M330" s="20"/>
      <c r="N330" s="101"/>
      <c r="O330" s="102"/>
      <c r="P330" s="102"/>
      <c r="Q330" s="102"/>
      <c r="R330" s="102"/>
      <c r="S330" s="127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10"/>
      <c r="AE330" s="3"/>
      <c r="AG330" s="21"/>
      <c r="AH330" s="21"/>
      <c r="AI330" s="21"/>
      <c r="AJ330" s="9"/>
    </row>
    <row r="331" spans="1:36" ht="48.75" customHeight="1" x14ac:dyDescent="0.25">
      <c r="A331" s="50" t="s">
        <v>78</v>
      </c>
      <c r="B331" s="50"/>
      <c r="C331" s="52" t="s">
        <v>79</v>
      </c>
      <c r="D331" s="116"/>
      <c r="E331" s="50" t="s">
        <v>78</v>
      </c>
      <c r="F331" s="50"/>
      <c r="G331" s="50" t="s">
        <v>79</v>
      </c>
      <c r="H331" s="50"/>
      <c r="I331" s="117" t="s">
        <v>80</v>
      </c>
      <c r="J331" s="117"/>
      <c r="K331" s="50" t="s">
        <v>81</v>
      </c>
      <c r="L331" s="50"/>
      <c r="M331" s="20"/>
      <c r="N331" s="118" t="s">
        <v>82</v>
      </c>
      <c r="O331" s="119"/>
      <c r="P331" s="120"/>
      <c r="Q331" s="121" t="s">
        <v>83</v>
      </c>
      <c r="R331" s="122"/>
      <c r="S331" s="122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10"/>
      <c r="AE331" s="22"/>
      <c r="AG331" s="21"/>
      <c r="AH331" s="21"/>
      <c r="AI331" s="21"/>
      <c r="AJ331" s="9"/>
    </row>
    <row r="332" spans="1:36" ht="21.75" customHeight="1" x14ac:dyDescent="0.25">
      <c r="A332" s="56">
        <v>0</v>
      </c>
      <c r="B332" s="56"/>
      <c r="C332" s="114">
        <v>258</v>
      </c>
      <c r="D332" s="115"/>
      <c r="E332" s="50">
        <v>0</v>
      </c>
      <c r="F332" s="50"/>
      <c r="G332" s="50">
        <v>16</v>
      </c>
      <c r="H332" s="50"/>
      <c r="I332" s="50">
        <v>0</v>
      </c>
      <c r="J332" s="50"/>
      <c r="K332" s="50">
        <v>0</v>
      </c>
      <c r="L332" s="50"/>
      <c r="M332" s="20"/>
      <c r="N332" s="100">
        <v>24</v>
      </c>
      <c r="O332" s="100"/>
      <c r="P332" s="100"/>
      <c r="Q332" s="101">
        <v>22</v>
      </c>
      <c r="R332" s="102"/>
      <c r="S332" s="102"/>
      <c r="T332" s="103">
        <v>1</v>
      </c>
      <c r="U332" s="103"/>
      <c r="V332" s="103">
        <v>1</v>
      </c>
      <c r="W332" s="103"/>
      <c r="X332" s="103"/>
      <c r="Y332" s="103"/>
      <c r="Z332" s="103"/>
      <c r="AA332" s="104">
        <v>1</v>
      </c>
      <c r="AB332" s="104"/>
      <c r="AC332" s="104"/>
      <c r="AD332" s="22"/>
      <c r="AE332" s="23"/>
      <c r="AG332" s="9"/>
      <c r="AH332" s="9"/>
      <c r="AI332" s="9"/>
      <c r="AJ332" s="9"/>
    </row>
    <row r="333" spans="1:36" ht="6" customHeight="1" x14ac:dyDescent="0.25">
      <c r="L333" s="24"/>
      <c r="AG333" s="9"/>
      <c r="AH333" s="9"/>
      <c r="AI333" s="9"/>
      <c r="AJ333" s="9"/>
    </row>
    <row r="334" spans="1:36" ht="15.75" x14ac:dyDescent="0.25">
      <c r="A334" s="4" t="s">
        <v>24</v>
      </c>
      <c r="B334" s="19"/>
      <c r="C334" s="19"/>
      <c r="D334" s="19"/>
      <c r="E334" s="19"/>
      <c r="M334" s="19"/>
      <c r="N334" s="4" t="s">
        <v>25</v>
      </c>
      <c r="O334" s="19"/>
      <c r="AG334" s="9"/>
      <c r="AH334" s="9"/>
      <c r="AI334" s="9"/>
      <c r="AJ334" s="9"/>
    </row>
    <row r="335" spans="1:36" ht="15" customHeight="1" x14ac:dyDescent="0.25">
      <c r="A335" s="50" t="s">
        <v>26</v>
      </c>
      <c r="B335" s="50"/>
      <c r="C335" s="50"/>
      <c r="D335" s="50"/>
      <c r="E335" s="50"/>
      <c r="F335" s="105" t="s">
        <v>27</v>
      </c>
      <c r="G335" s="106"/>
      <c r="H335" s="106"/>
      <c r="I335" s="106"/>
      <c r="J335" s="106"/>
      <c r="K335" s="106"/>
      <c r="L335" s="107"/>
      <c r="M335" s="24"/>
      <c r="N335" s="50" t="s">
        <v>84</v>
      </c>
      <c r="O335" s="50"/>
      <c r="P335" s="50"/>
      <c r="Q335" s="50"/>
      <c r="R335" s="105" t="s">
        <v>28</v>
      </c>
      <c r="S335" s="106"/>
      <c r="T335" s="106"/>
      <c r="U335" s="107"/>
      <c r="V335" s="50" t="s">
        <v>29</v>
      </c>
      <c r="W335" s="50"/>
      <c r="X335" s="50"/>
      <c r="Y335" s="50"/>
      <c r="Z335" s="50"/>
      <c r="AA335" s="106" t="s">
        <v>85</v>
      </c>
      <c r="AB335" s="106"/>
      <c r="AC335" s="107"/>
    </row>
    <row r="336" spans="1:36" x14ac:dyDescent="0.25">
      <c r="A336" s="50"/>
      <c r="B336" s="50"/>
      <c r="C336" s="50"/>
      <c r="D336" s="50"/>
      <c r="E336" s="50"/>
      <c r="F336" s="108"/>
      <c r="G336" s="109"/>
      <c r="H336" s="109"/>
      <c r="I336" s="109"/>
      <c r="J336" s="109"/>
      <c r="K336" s="109"/>
      <c r="L336" s="110"/>
      <c r="M336" s="24"/>
      <c r="N336" s="50"/>
      <c r="O336" s="50"/>
      <c r="P336" s="50"/>
      <c r="Q336" s="50"/>
      <c r="R336" s="108"/>
      <c r="S336" s="109"/>
      <c r="T336" s="109"/>
      <c r="U336" s="110"/>
      <c r="V336" s="50"/>
      <c r="W336" s="50"/>
      <c r="X336" s="50"/>
      <c r="Y336" s="50"/>
      <c r="Z336" s="50"/>
      <c r="AA336" s="109"/>
      <c r="AB336" s="109"/>
      <c r="AC336" s="110"/>
    </row>
    <row r="337" spans="1:40" x14ac:dyDescent="0.25">
      <c r="A337" s="50"/>
      <c r="B337" s="50"/>
      <c r="C337" s="50"/>
      <c r="D337" s="50"/>
      <c r="E337" s="50"/>
      <c r="F337" s="111"/>
      <c r="G337" s="112"/>
      <c r="H337" s="112"/>
      <c r="I337" s="112"/>
      <c r="J337" s="112"/>
      <c r="K337" s="112"/>
      <c r="L337" s="113"/>
      <c r="M337" s="24"/>
      <c r="N337" s="50"/>
      <c r="O337" s="50"/>
      <c r="P337" s="50"/>
      <c r="Q337" s="50"/>
      <c r="R337" s="111"/>
      <c r="S337" s="112"/>
      <c r="T337" s="112"/>
      <c r="U337" s="113"/>
      <c r="V337" s="50"/>
      <c r="W337" s="50"/>
      <c r="X337" s="50"/>
      <c r="Y337" s="50"/>
      <c r="Z337" s="50"/>
      <c r="AA337" s="112"/>
      <c r="AB337" s="112"/>
      <c r="AC337" s="113"/>
    </row>
    <row r="338" spans="1:40" ht="21.75" customHeight="1" x14ac:dyDescent="0.25">
      <c r="A338" s="50">
        <v>12</v>
      </c>
      <c r="B338" s="50"/>
      <c r="C338" s="50"/>
      <c r="D338" s="50"/>
      <c r="E338" s="50"/>
      <c r="F338" s="111">
        <v>3</v>
      </c>
      <c r="G338" s="112"/>
      <c r="H338" s="112"/>
      <c r="I338" s="112"/>
      <c r="J338" s="112"/>
      <c r="K338" s="112"/>
      <c r="L338" s="113"/>
      <c r="M338" s="24"/>
      <c r="N338" s="50">
        <v>2</v>
      </c>
      <c r="O338" s="50"/>
      <c r="P338" s="50"/>
      <c r="Q338" s="50"/>
      <c r="R338" s="111">
        <v>21</v>
      </c>
      <c r="S338" s="112"/>
      <c r="T338" s="112"/>
      <c r="U338" s="113"/>
      <c r="V338" s="50">
        <v>60</v>
      </c>
      <c r="W338" s="50"/>
      <c r="X338" s="50"/>
      <c r="Y338" s="50"/>
      <c r="Z338" s="50"/>
      <c r="AA338" s="112">
        <v>1</v>
      </c>
      <c r="AB338" s="112"/>
      <c r="AC338" s="113"/>
    </row>
    <row r="339" spans="1:40" x14ac:dyDescent="0.25">
      <c r="A339" s="16"/>
      <c r="B339" s="16" t="s">
        <v>86</v>
      </c>
      <c r="C339" s="7" t="s">
        <v>87</v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40" x14ac:dyDescent="0.25">
      <c r="A340" s="16"/>
      <c r="B340" s="16" t="s">
        <v>12</v>
      </c>
      <c r="C340" s="7" t="s">
        <v>88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40" x14ac:dyDescent="0.25">
      <c r="A341" s="128"/>
      <c r="B341" s="16" t="s">
        <v>13</v>
      </c>
      <c r="C341" s="7" t="s">
        <v>89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40" ht="15" customHeight="1" x14ac:dyDescent="0.25">
      <c r="A342" s="128"/>
      <c r="B342" s="128" t="s">
        <v>14</v>
      </c>
      <c r="C342" s="137" t="s">
        <v>90</v>
      </c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27"/>
      <c r="AN342" s="15">
        <f ca="1">AN342:AO342</f>
        <v>0</v>
      </c>
    </row>
    <row r="343" spans="1:40" x14ac:dyDescent="0.25">
      <c r="B343" s="128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27"/>
    </row>
    <row r="344" spans="1:40" ht="12.75" customHeight="1" x14ac:dyDescent="0.25">
      <c r="M344" s="129" t="s">
        <v>19</v>
      </c>
      <c r="N344" s="129"/>
      <c r="O344" s="129"/>
      <c r="P344" s="129"/>
      <c r="Q344" s="129"/>
      <c r="R344" s="129"/>
      <c r="S344" s="11"/>
    </row>
    <row r="345" spans="1:40" x14ac:dyDescent="0.25">
      <c r="L345" s="12"/>
      <c r="M345" s="12"/>
      <c r="N345" s="12"/>
      <c r="O345" s="12"/>
      <c r="P345" s="13"/>
      <c r="R345" s="11"/>
      <c r="S345" s="11"/>
    </row>
    <row r="346" spans="1:40" x14ac:dyDescent="0.25">
      <c r="L346" s="9"/>
      <c r="R346" s="25"/>
      <c r="S346" s="25"/>
      <c r="T346" s="9"/>
      <c r="U346" s="9"/>
      <c r="V346" s="9"/>
      <c r="W346" s="9"/>
      <c r="X346" s="9"/>
      <c r="Y346" s="9"/>
      <c r="Z346" s="9"/>
    </row>
    <row r="347" spans="1:40" ht="15.75" x14ac:dyDescent="0.25">
      <c r="L347" s="25"/>
      <c r="M347" s="130" t="s">
        <v>97</v>
      </c>
      <c r="N347" s="130"/>
      <c r="O347" s="130"/>
      <c r="P347" s="130"/>
      <c r="Q347" s="130"/>
      <c r="R347" s="130"/>
      <c r="S347" s="25"/>
      <c r="T347" s="9"/>
      <c r="U347" s="9"/>
      <c r="V347" s="9"/>
      <c r="W347" s="9"/>
      <c r="X347" s="9"/>
      <c r="Y347" s="9"/>
      <c r="Z347" s="9"/>
    </row>
    <row r="348" spans="1:40" ht="15.75" x14ac:dyDescent="0.25">
      <c r="L348" s="25"/>
      <c r="M348" s="131" t="s">
        <v>98</v>
      </c>
      <c r="N348" s="131"/>
      <c r="O348" s="131"/>
      <c r="P348" s="131"/>
      <c r="Q348" s="131"/>
      <c r="R348" s="131"/>
      <c r="S348" s="25"/>
      <c r="T348" s="9"/>
      <c r="U348" s="9"/>
      <c r="V348" s="9"/>
      <c r="W348" s="9"/>
      <c r="X348" s="9"/>
      <c r="Y348" s="9"/>
      <c r="Z348" s="9"/>
    </row>
    <row r="350" spans="1:40" ht="12.75" customHeight="1" x14ac:dyDescent="0.25"/>
    <row r="351" spans="1:40" ht="12.75" customHeight="1" x14ac:dyDescent="0.25"/>
    <row r="352" spans="1:40" ht="12.75" customHeight="1" x14ac:dyDescent="0.25">
      <c r="A352" s="34" t="s">
        <v>41</v>
      </c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spans="1:29" ht="12" customHeight="1" x14ac:dyDescent="0.25">
      <c r="A353" s="35" t="s">
        <v>30</v>
      </c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</row>
    <row r="354" spans="1:29" ht="12" customHeight="1" x14ac:dyDescent="0.25">
      <c r="A354" s="35" t="s">
        <v>46</v>
      </c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</row>
    <row r="355" spans="1:29" ht="12" customHeight="1" x14ac:dyDescent="0.25">
      <c r="A355" s="36" t="s">
        <v>62</v>
      </c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</row>
    <row r="356" spans="1:29" ht="12" customHeight="1" x14ac:dyDescent="0.25">
      <c r="A356" s="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5">
      <c r="A357" s="37" t="s">
        <v>63</v>
      </c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 spans="1:29" ht="6" customHeight="1" x14ac:dyDescent="0.25"/>
    <row r="359" spans="1:29" ht="12.75" customHeight="1" x14ac:dyDescent="0.25">
      <c r="A359" s="38" t="s">
        <v>64</v>
      </c>
      <c r="B359" s="39"/>
      <c r="C359" s="39"/>
      <c r="D359" s="39"/>
      <c r="E359" s="39"/>
      <c r="F359" s="39"/>
      <c r="G359" s="39"/>
      <c r="H359" s="40"/>
      <c r="I359" s="38" t="s">
        <v>65</v>
      </c>
      <c r="J359" s="39"/>
      <c r="K359" s="39"/>
      <c r="L359" s="39"/>
      <c r="M359" s="39"/>
      <c r="N359" s="39"/>
      <c r="O359" s="39"/>
      <c r="P359" s="39"/>
      <c r="Q359" s="40"/>
      <c r="R359" s="38" t="s">
        <v>18</v>
      </c>
      <c r="S359" s="39"/>
      <c r="T359" s="39"/>
      <c r="U359" s="40"/>
      <c r="V359" s="41" t="s">
        <v>66</v>
      </c>
      <c r="W359" s="42"/>
      <c r="X359" s="42"/>
      <c r="Y359" s="42"/>
      <c r="Z359" s="42"/>
      <c r="AA359" s="42"/>
      <c r="AB359" s="42"/>
      <c r="AC359" s="43"/>
    </row>
    <row r="360" spans="1:29" ht="12.75" customHeight="1" x14ac:dyDescent="0.25">
      <c r="A360" s="47" t="s">
        <v>40</v>
      </c>
      <c r="B360" s="48"/>
      <c r="C360" s="48"/>
      <c r="D360" s="48"/>
      <c r="E360" s="48"/>
      <c r="F360" s="48"/>
      <c r="G360" s="48"/>
      <c r="H360" s="49"/>
      <c r="I360" s="47" t="s">
        <v>61</v>
      </c>
      <c r="J360" s="48"/>
      <c r="K360" s="48"/>
      <c r="L360" s="48"/>
      <c r="M360" s="48"/>
      <c r="N360" s="48"/>
      <c r="O360" s="48"/>
      <c r="P360" s="48"/>
      <c r="Q360" s="49"/>
      <c r="R360" s="58">
        <v>2025</v>
      </c>
      <c r="S360" s="59"/>
      <c r="T360" s="59"/>
      <c r="U360" s="60"/>
      <c r="V360" s="44"/>
      <c r="W360" s="45"/>
      <c r="X360" s="45"/>
      <c r="Y360" s="45"/>
      <c r="Z360" s="45"/>
      <c r="AA360" s="45"/>
      <c r="AB360" s="45"/>
      <c r="AC360" s="46"/>
    </row>
    <row r="361" spans="1:29" ht="12.75" customHeight="1" x14ac:dyDescent="0.25">
      <c r="A361" s="61" t="s">
        <v>67</v>
      </c>
      <c r="B361" s="62"/>
      <c r="C361" s="62"/>
      <c r="D361" s="62"/>
      <c r="E361" s="62"/>
      <c r="F361" s="62"/>
      <c r="G361" s="62"/>
      <c r="H361" s="63"/>
      <c r="I361" s="38" t="s">
        <v>68</v>
      </c>
      <c r="J361" s="39"/>
      <c r="K361" s="39"/>
      <c r="L361" s="39"/>
      <c r="M361" s="39"/>
      <c r="N361" s="39"/>
      <c r="O361" s="39"/>
      <c r="P361" s="39"/>
      <c r="Q361" s="40"/>
      <c r="R361" s="64" t="s">
        <v>47</v>
      </c>
      <c r="S361" s="39"/>
      <c r="T361" s="39"/>
      <c r="U361" s="40"/>
      <c r="V361" s="65"/>
      <c r="W361" s="66"/>
      <c r="X361" s="66"/>
      <c r="Y361" s="66"/>
      <c r="Z361" s="66"/>
      <c r="AA361" s="66"/>
      <c r="AB361" s="66"/>
      <c r="AC361" s="67"/>
    </row>
    <row r="362" spans="1:29" ht="12.75" customHeight="1" x14ac:dyDescent="0.25">
      <c r="A362" s="71" t="s">
        <v>61</v>
      </c>
      <c r="B362" s="72"/>
      <c r="C362" s="72"/>
      <c r="D362" s="72"/>
      <c r="E362" s="72"/>
      <c r="F362" s="72"/>
      <c r="G362" s="72"/>
      <c r="H362" s="73"/>
      <c r="I362" s="77" t="s">
        <v>60</v>
      </c>
      <c r="J362" s="78"/>
      <c r="K362" s="78"/>
      <c r="L362" s="78"/>
      <c r="M362" s="78"/>
      <c r="N362" s="78"/>
      <c r="O362" s="78"/>
      <c r="P362" s="78"/>
      <c r="Q362" s="79"/>
      <c r="R362" s="83" t="s">
        <v>54</v>
      </c>
      <c r="S362" s="84"/>
      <c r="T362" s="84"/>
      <c r="U362" s="85"/>
      <c r="V362" s="65"/>
      <c r="W362" s="66"/>
      <c r="X362" s="66"/>
      <c r="Y362" s="66"/>
      <c r="Z362" s="66"/>
      <c r="AA362" s="66"/>
      <c r="AB362" s="66"/>
      <c r="AC362" s="67"/>
    </row>
    <row r="363" spans="1:29" ht="6.75" customHeight="1" x14ac:dyDescent="0.25">
      <c r="A363" s="74"/>
      <c r="B363" s="75"/>
      <c r="C363" s="75"/>
      <c r="D363" s="75"/>
      <c r="E363" s="75"/>
      <c r="F363" s="75"/>
      <c r="G363" s="75"/>
      <c r="H363" s="76"/>
      <c r="I363" s="80"/>
      <c r="J363" s="81"/>
      <c r="K363" s="81"/>
      <c r="L363" s="81"/>
      <c r="M363" s="81"/>
      <c r="N363" s="81"/>
      <c r="O363" s="81"/>
      <c r="P363" s="81"/>
      <c r="Q363" s="82"/>
      <c r="R363" s="86"/>
      <c r="S363" s="87"/>
      <c r="T363" s="87"/>
      <c r="U363" s="88"/>
      <c r="V363" s="68"/>
      <c r="W363" s="69"/>
      <c r="X363" s="69"/>
      <c r="Y363" s="69"/>
      <c r="Z363" s="69"/>
      <c r="AA363" s="69"/>
      <c r="AB363" s="69"/>
      <c r="AC363" s="70"/>
    </row>
    <row r="364" spans="1:29" ht="10.5" customHeight="1" x14ac:dyDescent="0.25"/>
    <row r="365" spans="1:29" ht="12" customHeight="1" x14ac:dyDescent="0.25">
      <c r="A365" s="4" t="s">
        <v>31</v>
      </c>
    </row>
    <row r="366" spans="1:29" ht="12.75" customHeight="1" x14ac:dyDescent="0.25">
      <c r="L366" s="50" t="s">
        <v>15</v>
      </c>
      <c r="M366" s="50"/>
      <c r="N366" s="50"/>
      <c r="O366" s="51" t="s">
        <v>16</v>
      </c>
      <c r="P366" s="51"/>
      <c r="Q366" s="51"/>
      <c r="R366" s="50" t="s">
        <v>32</v>
      </c>
      <c r="S366" s="50"/>
      <c r="T366" s="50"/>
      <c r="U366" s="52"/>
      <c r="V366" s="51" t="s">
        <v>33</v>
      </c>
      <c r="W366" s="51"/>
      <c r="X366" s="51"/>
      <c r="Y366" s="51"/>
      <c r="Z366" s="51"/>
      <c r="AA366" s="51" t="s">
        <v>0</v>
      </c>
      <c r="AB366" s="51"/>
      <c r="AC366" s="51"/>
    </row>
    <row r="367" spans="1:29" ht="12.75" customHeight="1" x14ac:dyDescent="0.25">
      <c r="L367" s="50"/>
      <c r="M367" s="50"/>
      <c r="N367" s="50"/>
      <c r="O367" s="51"/>
      <c r="P367" s="51"/>
      <c r="Q367" s="51"/>
      <c r="R367" s="50"/>
      <c r="S367" s="50"/>
      <c r="T367" s="50"/>
      <c r="U367" s="52"/>
      <c r="V367" s="51"/>
      <c r="W367" s="51"/>
      <c r="X367" s="51"/>
      <c r="Y367" s="51"/>
      <c r="Z367" s="51"/>
      <c r="AA367" s="51"/>
      <c r="AB367" s="51"/>
      <c r="AC367" s="51"/>
    </row>
    <row r="368" spans="1:29" ht="20.25" customHeight="1" x14ac:dyDescent="0.3">
      <c r="A368" s="53" t="s">
        <v>69</v>
      </c>
      <c r="B368" s="54"/>
      <c r="C368" s="54"/>
      <c r="D368" s="54"/>
      <c r="E368" s="54"/>
      <c r="F368" s="54"/>
      <c r="G368" s="54"/>
      <c r="H368" s="54"/>
      <c r="I368" s="54"/>
      <c r="J368" s="54"/>
      <c r="K368" s="55"/>
      <c r="L368" s="56">
        <v>17</v>
      </c>
      <c r="M368" s="56"/>
      <c r="N368" s="56"/>
      <c r="O368" s="56">
        <v>4</v>
      </c>
      <c r="P368" s="56"/>
      <c r="Q368" s="56"/>
      <c r="R368" s="56">
        <v>0</v>
      </c>
      <c r="S368" s="56"/>
      <c r="T368" s="56"/>
      <c r="U368" s="57"/>
      <c r="V368" s="56">
        <v>0</v>
      </c>
      <c r="W368" s="56"/>
      <c r="X368" s="56"/>
      <c r="Y368" s="56"/>
      <c r="Z368" s="56"/>
      <c r="AA368" s="89">
        <f>V368+R368+O368+L368</f>
        <v>21</v>
      </c>
      <c r="AB368" s="89"/>
      <c r="AC368" s="89"/>
    </row>
    <row r="369" spans="1:29" ht="20.25" customHeight="1" x14ac:dyDescent="0.3">
      <c r="A369" s="53" t="s">
        <v>34</v>
      </c>
      <c r="B369" s="54"/>
      <c r="C369" s="54"/>
      <c r="D369" s="54"/>
      <c r="E369" s="54"/>
      <c r="F369" s="54"/>
      <c r="G369" s="54"/>
      <c r="H369" s="54"/>
      <c r="I369" s="54"/>
      <c r="J369" s="54"/>
      <c r="K369" s="55"/>
      <c r="L369" s="56">
        <v>5</v>
      </c>
      <c r="M369" s="56"/>
      <c r="N369" s="56"/>
      <c r="O369" s="56">
        <v>0</v>
      </c>
      <c r="P369" s="56"/>
      <c r="Q369" s="56"/>
      <c r="R369" s="56">
        <v>0</v>
      </c>
      <c r="S369" s="56"/>
      <c r="T369" s="56"/>
      <c r="U369" s="57"/>
      <c r="V369" s="56">
        <v>1</v>
      </c>
      <c r="W369" s="56"/>
      <c r="X369" s="56"/>
      <c r="Y369" s="56"/>
      <c r="Z369" s="56"/>
      <c r="AA369" s="89">
        <f>V369+R369+O369+L369</f>
        <v>6</v>
      </c>
      <c r="AB369" s="89"/>
      <c r="AC369" s="89"/>
    </row>
    <row r="370" spans="1:29" ht="20.25" customHeight="1" x14ac:dyDescent="0.3">
      <c r="A370" s="53" t="s">
        <v>70</v>
      </c>
      <c r="B370" s="54"/>
      <c r="C370" s="54"/>
      <c r="D370" s="54"/>
      <c r="E370" s="54"/>
      <c r="F370" s="54"/>
      <c r="G370" s="54"/>
      <c r="H370" s="54"/>
      <c r="I370" s="54"/>
      <c r="J370" s="54"/>
      <c r="K370" s="55"/>
      <c r="L370" s="56">
        <v>0</v>
      </c>
      <c r="M370" s="56"/>
      <c r="N370" s="56"/>
      <c r="O370" s="56">
        <v>0</v>
      </c>
      <c r="P370" s="56"/>
      <c r="Q370" s="56"/>
      <c r="R370" s="56">
        <v>0</v>
      </c>
      <c r="S370" s="56"/>
      <c r="T370" s="56"/>
      <c r="U370" s="57"/>
      <c r="V370" s="56">
        <v>0</v>
      </c>
      <c r="W370" s="56"/>
      <c r="X370" s="56"/>
      <c r="Y370" s="56"/>
      <c r="Z370" s="56"/>
      <c r="AA370" s="89">
        <f>V370+R370+O370+L370</f>
        <v>0</v>
      </c>
      <c r="AB370" s="89"/>
      <c r="AC370" s="89"/>
    </row>
    <row r="371" spans="1:29" ht="21" customHeight="1" x14ac:dyDescent="0.3">
      <c r="A371" s="53" t="s">
        <v>35</v>
      </c>
      <c r="B371" s="54"/>
      <c r="C371" s="54"/>
      <c r="D371" s="54"/>
      <c r="E371" s="54"/>
      <c r="F371" s="54"/>
      <c r="G371" s="54"/>
      <c r="H371" s="54"/>
      <c r="I371" s="54"/>
      <c r="J371" s="54"/>
      <c r="K371" s="55"/>
      <c r="L371" s="56">
        <v>2</v>
      </c>
      <c r="M371" s="56"/>
      <c r="N371" s="56"/>
      <c r="O371" s="56">
        <v>0</v>
      </c>
      <c r="P371" s="56"/>
      <c r="Q371" s="56"/>
      <c r="R371" s="56">
        <v>0</v>
      </c>
      <c r="S371" s="56"/>
      <c r="T371" s="56"/>
      <c r="U371" s="57"/>
      <c r="V371" s="56">
        <v>0</v>
      </c>
      <c r="W371" s="56"/>
      <c r="X371" s="56"/>
      <c r="Y371" s="56"/>
      <c r="Z371" s="56"/>
      <c r="AA371" s="89">
        <f>V371+R371+O371+L371</f>
        <v>2</v>
      </c>
      <c r="AB371" s="89"/>
      <c r="AC371" s="89"/>
    </row>
    <row r="372" spans="1:29" ht="4.5" customHeight="1" x14ac:dyDescent="0.25"/>
    <row r="373" spans="1:29" ht="12.75" customHeight="1" x14ac:dyDescent="0.25">
      <c r="A373" s="95" t="s">
        <v>36</v>
      </c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</row>
    <row r="374" spans="1:29" ht="12.75" customHeight="1" x14ac:dyDescent="0.25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</row>
    <row r="375" spans="1:29" ht="0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7.25" customHeight="1" x14ac:dyDescent="0.25">
      <c r="J376" s="96" t="s">
        <v>9</v>
      </c>
      <c r="K376" s="97"/>
      <c r="L376" s="98" t="s">
        <v>10</v>
      </c>
      <c r="M376" s="94"/>
      <c r="N376" s="94" t="s">
        <v>3</v>
      </c>
      <c r="O376" s="94"/>
      <c r="P376" s="94" t="s">
        <v>4</v>
      </c>
      <c r="Q376" s="94"/>
      <c r="R376" s="94" t="s">
        <v>5</v>
      </c>
      <c r="S376" s="94"/>
      <c r="T376" s="94" t="s">
        <v>6</v>
      </c>
      <c r="U376" s="94"/>
      <c r="V376" s="94" t="s">
        <v>7</v>
      </c>
      <c r="W376" s="94"/>
      <c r="X376" s="94" t="s">
        <v>11</v>
      </c>
      <c r="Y376" s="94"/>
      <c r="Z376" s="99" t="s">
        <v>49</v>
      </c>
      <c r="AA376" s="99"/>
      <c r="AB376" s="94" t="s">
        <v>0</v>
      </c>
      <c r="AC376" s="94"/>
    </row>
    <row r="377" spans="1:29" ht="17.25" customHeight="1" x14ac:dyDescent="0.25">
      <c r="J377" s="2" t="s">
        <v>1</v>
      </c>
      <c r="K377" s="2" t="s">
        <v>2</v>
      </c>
      <c r="L377" s="2" t="s">
        <v>1</v>
      </c>
      <c r="M377" s="2" t="s">
        <v>2</v>
      </c>
      <c r="N377" s="2" t="s">
        <v>1</v>
      </c>
      <c r="O377" s="2" t="s">
        <v>2</v>
      </c>
      <c r="P377" s="2" t="s">
        <v>1</v>
      </c>
      <c r="Q377" s="2" t="s">
        <v>2</v>
      </c>
      <c r="R377" s="2" t="s">
        <v>1</v>
      </c>
      <c r="S377" s="2" t="s">
        <v>2</v>
      </c>
      <c r="T377" s="2" t="s">
        <v>1</v>
      </c>
      <c r="U377" s="2" t="s">
        <v>2</v>
      </c>
      <c r="V377" s="2" t="s">
        <v>1</v>
      </c>
      <c r="W377" s="2" t="s">
        <v>2</v>
      </c>
      <c r="X377" s="2" t="s">
        <v>1</v>
      </c>
      <c r="Y377" s="2" t="s">
        <v>2</v>
      </c>
      <c r="Z377" s="17" t="s">
        <v>1</v>
      </c>
      <c r="AA377" s="17" t="s">
        <v>2</v>
      </c>
      <c r="AB377" s="94"/>
      <c r="AC377" s="94"/>
    </row>
    <row r="378" spans="1:29" ht="18.75" customHeight="1" x14ac:dyDescent="0.25">
      <c r="A378" s="90" t="s">
        <v>71</v>
      </c>
      <c r="B378" s="91"/>
      <c r="C378" s="91"/>
      <c r="D378" s="91"/>
      <c r="E378" s="91"/>
      <c r="F378" s="91"/>
      <c r="G378" s="91"/>
      <c r="H378" s="91"/>
      <c r="I378" s="92"/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5</v>
      </c>
      <c r="P378" s="14">
        <v>1</v>
      </c>
      <c r="Q378" s="14">
        <v>4</v>
      </c>
      <c r="R378" s="14">
        <v>1</v>
      </c>
      <c r="S378" s="14">
        <v>1</v>
      </c>
      <c r="T378" s="14">
        <v>1</v>
      </c>
      <c r="U378" s="14">
        <v>1</v>
      </c>
      <c r="V378" s="14">
        <v>3</v>
      </c>
      <c r="W378" s="14">
        <v>3</v>
      </c>
      <c r="X378" s="14">
        <v>1</v>
      </c>
      <c r="Y378" s="14">
        <v>0</v>
      </c>
      <c r="Z378" s="18">
        <f>X378+V378+T378+R378+P378+N378+L378+J378</f>
        <v>7</v>
      </c>
      <c r="AA378" s="18">
        <f>Y378+W378+U378+S378+Q378+O378+M378+K378</f>
        <v>14</v>
      </c>
      <c r="AB378" s="93">
        <f t="shared" ref="AB378:AB383" si="14">AA378+Z378</f>
        <v>21</v>
      </c>
      <c r="AC378" s="93"/>
    </row>
    <row r="379" spans="1:29" ht="18.75" customHeight="1" x14ac:dyDescent="0.25">
      <c r="A379" s="53" t="s">
        <v>37</v>
      </c>
      <c r="B379" s="54"/>
      <c r="C379" s="54"/>
      <c r="D379" s="54"/>
      <c r="E379" s="54"/>
      <c r="F379" s="54"/>
      <c r="G379" s="54"/>
      <c r="H379" s="54"/>
      <c r="I379" s="55"/>
      <c r="J379" s="29">
        <v>0</v>
      </c>
      <c r="K379" s="29">
        <v>0</v>
      </c>
      <c r="L379" s="29">
        <v>0</v>
      </c>
      <c r="M379" s="29">
        <v>0</v>
      </c>
      <c r="N379" s="29">
        <v>1</v>
      </c>
      <c r="O379" s="29">
        <v>1</v>
      </c>
      <c r="P379" s="29">
        <v>0</v>
      </c>
      <c r="Q379" s="29">
        <v>1</v>
      </c>
      <c r="R379" s="29">
        <v>0</v>
      </c>
      <c r="S379" s="29">
        <v>0</v>
      </c>
      <c r="T379" s="29">
        <v>0</v>
      </c>
      <c r="U379" s="29">
        <v>1</v>
      </c>
      <c r="V379" s="29">
        <v>0</v>
      </c>
      <c r="W379" s="29">
        <v>0</v>
      </c>
      <c r="X379" s="29">
        <v>0</v>
      </c>
      <c r="Y379" s="29">
        <v>1</v>
      </c>
      <c r="Z379" s="18">
        <f t="shared" ref="Z379:AA383" si="15">X379+V379+T379+R379+P379+N379+L379+J379</f>
        <v>1</v>
      </c>
      <c r="AA379" s="18">
        <f t="shared" si="15"/>
        <v>4</v>
      </c>
      <c r="AB379" s="93">
        <f t="shared" si="14"/>
        <v>5</v>
      </c>
      <c r="AC379" s="93"/>
    </row>
    <row r="380" spans="1:29" ht="24" customHeight="1" x14ac:dyDescent="0.25">
      <c r="A380" s="90" t="s">
        <v>72</v>
      </c>
      <c r="B380" s="91"/>
      <c r="C380" s="91"/>
      <c r="D380" s="91"/>
      <c r="E380" s="91"/>
      <c r="F380" s="91"/>
      <c r="G380" s="91"/>
      <c r="H380" s="91"/>
      <c r="I380" s="92"/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18">
        <f t="shared" si="15"/>
        <v>0</v>
      </c>
      <c r="AA380" s="18">
        <f t="shared" si="15"/>
        <v>0</v>
      </c>
      <c r="AB380" s="93">
        <f t="shared" si="14"/>
        <v>0</v>
      </c>
      <c r="AC380" s="93"/>
    </row>
    <row r="381" spans="1:29" ht="18.75" customHeight="1" x14ac:dyDescent="0.25">
      <c r="A381" s="90" t="s">
        <v>38</v>
      </c>
      <c r="B381" s="91"/>
      <c r="C381" s="91"/>
      <c r="D381" s="91"/>
      <c r="E381" s="91"/>
      <c r="F381" s="91"/>
      <c r="G381" s="91"/>
      <c r="H381" s="91"/>
      <c r="I381" s="92"/>
      <c r="J381" s="29">
        <v>0</v>
      </c>
      <c r="K381" s="29">
        <v>0</v>
      </c>
      <c r="L381" s="29">
        <v>0</v>
      </c>
      <c r="M381" s="29">
        <v>0</v>
      </c>
      <c r="N381" s="29">
        <v>0</v>
      </c>
      <c r="O381" s="29">
        <v>1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1</v>
      </c>
      <c r="Z381" s="18">
        <f t="shared" si="15"/>
        <v>0</v>
      </c>
      <c r="AA381" s="18">
        <f t="shared" si="15"/>
        <v>2</v>
      </c>
      <c r="AB381" s="93">
        <f t="shared" si="14"/>
        <v>2</v>
      </c>
      <c r="AC381" s="93"/>
    </row>
    <row r="382" spans="1:29" ht="18.75" customHeight="1" x14ac:dyDescent="0.25">
      <c r="A382" s="90" t="s">
        <v>39</v>
      </c>
      <c r="B382" s="91"/>
      <c r="C382" s="91"/>
      <c r="D382" s="91"/>
      <c r="E382" s="91"/>
      <c r="F382" s="91"/>
      <c r="G382" s="91"/>
      <c r="H382" s="91"/>
      <c r="I382" s="92"/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0</v>
      </c>
      <c r="Z382" s="18">
        <f t="shared" si="15"/>
        <v>0</v>
      </c>
      <c r="AA382" s="18">
        <f t="shared" si="15"/>
        <v>0</v>
      </c>
      <c r="AB382" s="93">
        <f t="shared" si="14"/>
        <v>0</v>
      </c>
      <c r="AC382" s="93"/>
    </row>
    <row r="383" spans="1:29" ht="18.75" customHeight="1" x14ac:dyDescent="0.25">
      <c r="A383" s="90" t="s">
        <v>17</v>
      </c>
      <c r="B383" s="91"/>
      <c r="C383" s="91"/>
      <c r="D383" s="91"/>
      <c r="E383" s="91"/>
      <c r="F383" s="91"/>
      <c r="G383" s="91"/>
      <c r="H383" s="91"/>
      <c r="I383" s="92"/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29">
        <v>1</v>
      </c>
      <c r="T383" s="29">
        <v>0</v>
      </c>
      <c r="U383" s="29">
        <v>0</v>
      </c>
      <c r="V383" s="29">
        <v>0</v>
      </c>
      <c r="W383" s="29">
        <v>0</v>
      </c>
      <c r="X383" s="29">
        <v>0</v>
      </c>
      <c r="Y383" s="29">
        <v>0</v>
      </c>
      <c r="Z383" s="18">
        <f t="shared" si="15"/>
        <v>0</v>
      </c>
      <c r="AA383" s="18">
        <f t="shared" si="15"/>
        <v>1</v>
      </c>
      <c r="AB383" s="93">
        <f t="shared" si="14"/>
        <v>1</v>
      </c>
      <c r="AC383" s="93"/>
    </row>
    <row r="384" spans="1:29" ht="9" customHeight="1" x14ac:dyDescent="0.25"/>
    <row r="385" spans="1:40" ht="1.5" hidden="1" customHeight="1" x14ac:dyDescent="0.25"/>
    <row r="386" spans="1:40" ht="15.75" x14ac:dyDescent="0.25">
      <c r="A386" s="4" t="s">
        <v>73</v>
      </c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N386" s="4" t="s">
        <v>20</v>
      </c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40" ht="15" customHeight="1" x14ac:dyDescent="0.25">
      <c r="A387" s="123" t="s">
        <v>74</v>
      </c>
      <c r="B387" s="123"/>
      <c r="C387" s="123"/>
      <c r="D387" s="123"/>
      <c r="E387" s="50" t="s">
        <v>75</v>
      </c>
      <c r="F387" s="50"/>
      <c r="G387" s="50"/>
      <c r="H387" s="50"/>
      <c r="I387" s="50" t="s">
        <v>76</v>
      </c>
      <c r="J387" s="50"/>
      <c r="K387" s="50"/>
      <c r="L387" s="50"/>
      <c r="M387" s="9"/>
      <c r="N387" s="124" t="s">
        <v>77</v>
      </c>
      <c r="O387" s="125"/>
      <c r="P387" s="125"/>
      <c r="Q387" s="125"/>
      <c r="R387" s="125"/>
      <c r="S387" s="126"/>
      <c r="T387" s="50" t="s">
        <v>21</v>
      </c>
      <c r="U387" s="50"/>
      <c r="V387" s="50" t="s">
        <v>22</v>
      </c>
      <c r="W387" s="50"/>
      <c r="X387" s="50"/>
      <c r="Y387" s="50"/>
      <c r="Z387" s="50"/>
      <c r="AA387" s="50" t="s">
        <v>23</v>
      </c>
      <c r="AB387" s="50"/>
      <c r="AC387" s="50"/>
      <c r="AD387" s="10"/>
      <c r="AE387" s="3"/>
      <c r="AG387" s="9"/>
      <c r="AH387" s="9"/>
      <c r="AI387" s="9"/>
      <c r="AJ387" s="9"/>
    </row>
    <row r="388" spans="1:40" ht="51" customHeight="1" x14ac:dyDescent="0.25">
      <c r="A388" s="123"/>
      <c r="B388" s="123"/>
      <c r="C388" s="123"/>
      <c r="D388" s="123"/>
      <c r="E388" s="50"/>
      <c r="F388" s="50"/>
      <c r="G388" s="50"/>
      <c r="H388" s="50"/>
      <c r="I388" s="50"/>
      <c r="J388" s="50"/>
      <c r="K388" s="50"/>
      <c r="L388" s="50"/>
      <c r="M388" s="20"/>
      <c r="N388" s="101"/>
      <c r="O388" s="102"/>
      <c r="P388" s="102"/>
      <c r="Q388" s="102"/>
      <c r="R388" s="102"/>
      <c r="S388" s="127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10"/>
      <c r="AE388" s="3"/>
      <c r="AG388" s="21"/>
      <c r="AH388" s="21"/>
      <c r="AI388" s="21"/>
      <c r="AJ388" s="9"/>
    </row>
    <row r="389" spans="1:40" ht="48.75" customHeight="1" x14ac:dyDescent="0.25">
      <c r="A389" s="50" t="s">
        <v>78</v>
      </c>
      <c r="B389" s="50"/>
      <c r="C389" s="52" t="s">
        <v>79</v>
      </c>
      <c r="D389" s="116"/>
      <c r="E389" s="50" t="s">
        <v>78</v>
      </c>
      <c r="F389" s="50"/>
      <c r="G389" s="50" t="s">
        <v>79</v>
      </c>
      <c r="H389" s="50"/>
      <c r="I389" s="117" t="s">
        <v>80</v>
      </c>
      <c r="J389" s="117"/>
      <c r="K389" s="50" t="s">
        <v>81</v>
      </c>
      <c r="L389" s="50"/>
      <c r="M389" s="20"/>
      <c r="N389" s="118" t="s">
        <v>82</v>
      </c>
      <c r="O389" s="119"/>
      <c r="P389" s="120"/>
      <c r="Q389" s="121" t="s">
        <v>83</v>
      </c>
      <c r="R389" s="122"/>
      <c r="S389" s="122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10"/>
      <c r="AE389" s="22"/>
      <c r="AG389" s="21"/>
      <c r="AH389" s="21"/>
      <c r="AI389" s="21"/>
      <c r="AJ389" s="9"/>
    </row>
    <row r="390" spans="1:40" ht="21.75" customHeight="1" x14ac:dyDescent="0.25">
      <c r="A390" s="138">
        <v>0</v>
      </c>
      <c r="B390" s="138"/>
      <c r="C390" s="139">
        <v>226</v>
      </c>
      <c r="D390" s="140"/>
      <c r="E390" s="50">
        <v>0</v>
      </c>
      <c r="F390" s="50"/>
      <c r="G390" s="50">
        <v>21</v>
      </c>
      <c r="H390" s="50"/>
      <c r="I390" s="50">
        <v>0</v>
      </c>
      <c r="J390" s="50"/>
      <c r="K390" s="50">
        <v>0</v>
      </c>
      <c r="L390" s="50"/>
      <c r="M390" s="20"/>
      <c r="N390" s="100">
        <v>29</v>
      </c>
      <c r="O390" s="100"/>
      <c r="P390" s="100"/>
      <c r="Q390" s="101">
        <v>16</v>
      </c>
      <c r="R390" s="102"/>
      <c r="S390" s="102"/>
      <c r="T390" s="103">
        <v>2</v>
      </c>
      <c r="U390" s="103"/>
      <c r="V390" s="103">
        <v>2</v>
      </c>
      <c r="W390" s="103"/>
      <c r="X390" s="103"/>
      <c r="Y390" s="103"/>
      <c r="Z390" s="103"/>
      <c r="AA390" s="104">
        <v>2</v>
      </c>
      <c r="AB390" s="104"/>
      <c r="AC390" s="104"/>
      <c r="AD390" s="22"/>
      <c r="AE390" s="23"/>
      <c r="AG390" s="9"/>
      <c r="AH390" s="9"/>
      <c r="AI390" s="9"/>
      <c r="AJ390" s="9"/>
    </row>
    <row r="391" spans="1:40" ht="6" customHeight="1" x14ac:dyDescent="0.25">
      <c r="L391" s="24"/>
      <c r="AG391" s="9"/>
      <c r="AH391" s="9"/>
      <c r="AI391" s="9"/>
      <c r="AJ391" s="9"/>
    </row>
    <row r="392" spans="1:40" ht="15.75" x14ac:dyDescent="0.25">
      <c r="A392" s="4" t="s">
        <v>24</v>
      </c>
      <c r="B392" s="19"/>
      <c r="C392" s="19"/>
      <c r="D392" s="19"/>
      <c r="E392" s="19"/>
      <c r="M392" s="19"/>
      <c r="N392" s="4" t="s">
        <v>25</v>
      </c>
      <c r="O392" s="19"/>
      <c r="AG392" s="9"/>
      <c r="AH392" s="9"/>
      <c r="AI392" s="9"/>
      <c r="AJ392" s="9"/>
    </row>
    <row r="393" spans="1:40" ht="15" customHeight="1" x14ac:dyDescent="0.25">
      <c r="A393" s="50" t="s">
        <v>26</v>
      </c>
      <c r="B393" s="50"/>
      <c r="C393" s="50"/>
      <c r="D393" s="50"/>
      <c r="E393" s="50"/>
      <c r="F393" s="105" t="s">
        <v>27</v>
      </c>
      <c r="G393" s="106"/>
      <c r="H393" s="106"/>
      <c r="I393" s="106"/>
      <c r="J393" s="106"/>
      <c r="K393" s="106"/>
      <c r="L393" s="107"/>
      <c r="M393" s="24"/>
      <c r="N393" s="50" t="s">
        <v>84</v>
      </c>
      <c r="O393" s="50"/>
      <c r="P393" s="50"/>
      <c r="Q393" s="50"/>
      <c r="R393" s="105" t="s">
        <v>28</v>
      </c>
      <c r="S393" s="106"/>
      <c r="T393" s="106"/>
      <c r="U393" s="107"/>
      <c r="V393" s="50" t="s">
        <v>29</v>
      </c>
      <c r="W393" s="50"/>
      <c r="X393" s="50"/>
      <c r="Y393" s="50"/>
      <c r="Z393" s="50"/>
      <c r="AA393" s="106" t="s">
        <v>85</v>
      </c>
      <c r="AB393" s="106"/>
      <c r="AC393" s="107"/>
    </row>
    <row r="394" spans="1:40" x14ac:dyDescent="0.25">
      <c r="A394" s="50"/>
      <c r="B394" s="50"/>
      <c r="C394" s="50"/>
      <c r="D394" s="50"/>
      <c r="E394" s="50"/>
      <c r="F394" s="108"/>
      <c r="G394" s="109"/>
      <c r="H394" s="109"/>
      <c r="I394" s="109"/>
      <c r="J394" s="109"/>
      <c r="K394" s="109"/>
      <c r="L394" s="110"/>
      <c r="M394" s="24"/>
      <c r="N394" s="50"/>
      <c r="O394" s="50"/>
      <c r="P394" s="50"/>
      <c r="Q394" s="50"/>
      <c r="R394" s="108"/>
      <c r="S394" s="109"/>
      <c r="T394" s="109"/>
      <c r="U394" s="110"/>
      <c r="V394" s="50"/>
      <c r="W394" s="50"/>
      <c r="X394" s="50"/>
      <c r="Y394" s="50"/>
      <c r="Z394" s="50"/>
      <c r="AA394" s="109"/>
      <c r="AB394" s="109"/>
      <c r="AC394" s="110"/>
    </row>
    <row r="395" spans="1:40" x14ac:dyDescent="0.25">
      <c r="A395" s="50"/>
      <c r="B395" s="50"/>
      <c r="C395" s="50"/>
      <c r="D395" s="50"/>
      <c r="E395" s="50"/>
      <c r="F395" s="111"/>
      <c r="G395" s="112"/>
      <c r="H395" s="112"/>
      <c r="I395" s="112"/>
      <c r="J395" s="112"/>
      <c r="K395" s="112"/>
      <c r="L395" s="113"/>
      <c r="M395" s="24"/>
      <c r="N395" s="50"/>
      <c r="O395" s="50"/>
      <c r="P395" s="50"/>
      <c r="Q395" s="50"/>
      <c r="R395" s="111"/>
      <c r="S395" s="112"/>
      <c r="T395" s="112"/>
      <c r="U395" s="113"/>
      <c r="V395" s="50"/>
      <c r="W395" s="50"/>
      <c r="X395" s="50"/>
      <c r="Y395" s="50"/>
      <c r="Z395" s="50"/>
      <c r="AA395" s="112"/>
      <c r="AB395" s="112"/>
      <c r="AC395" s="113"/>
    </row>
    <row r="396" spans="1:40" ht="21.75" customHeight="1" x14ac:dyDescent="0.25">
      <c r="A396" s="50">
        <v>15</v>
      </c>
      <c r="B396" s="50"/>
      <c r="C396" s="50"/>
      <c r="D396" s="50"/>
      <c r="E396" s="50"/>
      <c r="F396" s="111">
        <v>1</v>
      </c>
      <c r="G396" s="112"/>
      <c r="H396" s="112"/>
      <c r="I396" s="112"/>
      <c r="J396" s="112"/>
      <c r="K396" s="112"/>
      <c r="L396" s="113"/>
      <c r="M396" s="24"/>
      <c r="N396" s="50">
        <v>1</v>
      </c>
      <c r="O396" s="50"/>
      <c r="P396" s="50"/>
      <c r="Q396" s="50"/>
      <c r="R396" s="111">
        <v>12</v>
      </c>
      <c r="S396" s="112"/>
      <c r="T396" s="112"/>
      <c r="U396" s="113"/>
      <c r="V396" s="50">
        <v>53</v>
      </c>
      <c r="W396" s="50"/>
      <c r="X396" s="50"/>
      <c r="Y396" s="50"/>
      <c r="Z396" s="50"/>
      <c r="AA396" s="112">
        <v>1</v>
      </c>
      <c r="AB396" s="112"/>
      <c r="AC396" s="113"/>
    </row>
    <row r="397" spans="1:40" x14ac:dyDescent="0.25">
      <c r="A397" s="16"/>
      <c r="B397" s="16" t="s">
        <v>86</v>
      </c>
      <c r="C397" s="7" t="s">
        <v>87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40" x14ac:dyDescent="0.25">
      <c r="A398" s="16"/>
      <c r="B398" s="16" t="s">
        <v>12</v>
      </c>
      <c r="C398" s="7" t="s">
        <v>88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40" x14ac:dyDescent="0.25">
      <c r="A399" s="128"/>
      <c r="B399" s="16" t="s">
        <v>13</v>
      </c>
      <c r="C399" s="7" t="s">
        <v>89</v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40" ht="15" customHeight="1" x14ac:dyDescent="0.25">
      <c r="A400" s="128"/>
      <c r="B400" s="128" t="s">
        <v>14</v>
      </c>
      <c r="C400" s="137" t="s">
        <v>90</v>
      </c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27"/>
      <c r="AN400" s="15">
        <f ca="1">AN400:AO400</f>
        <v>0</v>
      </c>
    </row>
    <row r="401" spans="1:30" x14ac:dyDescent="0.25">
      <c r="B401" s="128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27"/>
    </row>
    <row r="402" spans="1:30" ht="12.75" customHeight="1" x14ac:dyDescent="0.25">
      <c r="M402" s="129" t="s">
        <v>19</v>
      </c>
      <c r="N402" s="129"/>
      <c r="O402" s="129"/>
      <c r="P402" s="129"/>
      <c r="Q402" s="129"/>
      <c r="R402" s="129"/>
      <c r="S402" s="11"/>
    </row>
    <row r="403" spans="1:30" x14ac:dyDescent="0.25">
      <c r="L403" s="12"/>
      <c r="M403" s="12"/>
      <c r="N403" s="12"/>
      <c r="O403" s="12"/>
      <c r="P403" s="13"/>
      <c r="R403" s="11"/>
      <c r="S403" s="11"/>
    </row>
    <row r="404" spans="1:30" x14ac:dyDescent="0.25">
      <c r="L404" s="9"/>
      <c r="R404" s="25"/>
      <c r="S404" s="25"/>
      <c r="T404" s="9"/>
      <c r="U404" s="9"/>
      <c r="V404" s="9"/>
      <c r="W404" s="9"/>
      <c r="X404" s="9"/>
      <c r="Y404" s="9"/>
      <c r="Z404" s="9"/>
    </row>
    <row r="405" spans="1:30" ht="15.75" x14ac:dyDescent="0.25">
      <c r="L405" s="25"/>
      <c r="M405" s="130" t="s">
        <v>97</v>
      </c>
      <c r="N405" s="130"/>
      <c r="O405" s="130"/>
      <c r="P405" s="130"/>
      <c r="Q405" s="130"/>
      <c r="R405" s="130"/>
      <c r="S405" s="25"/>
      <c r="T405" s="9"/>
      <c r="U405" s="9"/>
      <c r="V405" s="9"/>
      <c r="W405" s="9"/>
      <c r="X405" s="9"/>
      <c r="Y405" s="9"/>
      <c r="Z405" s="9"/>
    </row>
    <row r="406" spans="1:30" ht="15.75" x14ac:dyDescent="0.25">
      <c r="L406" s="25"/>
      <c r="M406" s="131" t="s">
        <v>98</v>
      </c>
      <c r="N406" s="131"/>
      <c r="O406" s="131"/>
      <c r="P406" s="131"/>
      <c r="Q406" s="131"/>
      <c r="R406" s="131"/>
      <c r="S406" s="25"/>
      <c r="T406" s="9"/>
      <c r="U406" s="9"/>
      <c r="V406" s="9"/>
      <c r="W406" s="9"/>
      <c r="X406" s="9"/>
      <c r="Y406" s="9"/>
      <c r="Z406" s="9"/>
    </row>
    <row r="408" spans="1:30" ht="12.75" customHeight="1" x14ac:dyDescent="0.25"/>
    <row r="409" spans="1:30" ht="12.75" customHeight="1" x14ac:dyDescent="0.25"/>
    <row r="410" spans="1:30" ht="12.75" customHeight="1" x14ac:dyDescent="0.25">
      <c r="A410" s="34" t="s">
        <v>41</v>
      </c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spans="1:30" ht="12" customHeight="1" x14ac:dyDescent="0.25">
      <c r="A411" s="35" t="s">
        <v>30</v>
      </c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</row>
    <row r="412" spans="1:30" ht="12" customHeight="1" x14ac:dyDescent="0.25">
      <c r="A412" s="35" t="s">
        <v>46</v>
      </c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</row>
    <row r="413" spans="1:30" ht="12" customHeight="1" x14ac:dyDescent="0.25">
      <c r="A413" s="36" t="s">
        <v>62</v>
      </c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</row>
    <row r="414" spans="1:30" ht="12" customHeight="1" x14ac:dyDescent="0.25">
      <c r="A414" s="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30" ht="12" customHeight="1" x14ac:dyDescent="0.25">
      <c r="A415" s="37" t="s">
        <v>63</v>
      </c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 spans="1:30" ht="6" customHeight="1" x14ac:dyDescent="0.25"/>
    <row r="417" spans="1:29" ht="12.75" customHeight="1" x14ac:dyDescent="0.25">
      <c r="A417" s="38" t="s">
        <v>64</v>
      </c>
      <c r="B417" s="39"/>
      <c r="C417" s="39"/>
      <c r="D417" s="39"/>
      <c r="E417" s="39"/>
      <c r="F417" s="39"/>
      <c r="G417" s="39"/>
      <c r="H417" s="40"/>
      <c r="I417" s="38" t="s">
        <v>65</v>
      </c>
      <c r="J417" s="39"/>
      <c r="K417" s="39"/>
      <c r="L417" s="39"/>
      <c r="M417" s="39"/>
      <c r="N417" s="39"/>
      <c r="O417" s="39"/>
      <c r="P417" s="39"/>
      <c r="Q417" s="40"/>
      <c r="R417" s="38" t="s">
        <v>18</v>
      </c>
      <c r="S417" s="39"/>
      <c r="T417" s="39"/>
      <c r="U417" s="40"/>
      <c r="V417" s="41" t="s">
        <v>66</v>
      </c>
      <c r="W417" s="42"/>
      <c r="X417" s="42"/>
      <c r="Y417" s="42"/>
      <c r="Z417" s="42"/>
      <c r="AA417" s="42"/>
      <c r="AB417" s="42"/>
      <c r="AC417" s="43"/>
    </row>
    <row r="418" spans="1:29" ht="12.75" customHeight="1" x14ac:dyDescent="0.25">
      <c r="A418" s="47" t="s">
        <v>40</v>
      </c>
      <c r="B418" s="48"/>
      <c r="C418" s="48"/>
      <c r="D418" s="48"/>
      <c r="E418" s="48"/>
      <c r="F418" s="48"/>
      <c r="G418" s="48"/>
      <c r="H418" s="49"/>
      <c r="I418" s="47" t="s">
        <v>61</v>
      </c>
      <c r="J418" s="48"/>
      <c r="K418" s="48"/>
      <c r="L418" s="48"/>
      <c r="M418" s="48"/>
      <c r="N418" s="48"/>
      <c r="O418" s="48"/>
      <c r="P418" s="48"/>
      <c r="Q418" s="49"/>
      <c r="R418" s="58">
        <v>2025</v>
      </c>
      <c r="S418" s="59"/>
      <c r="T418" s="59"/>
      <c r="U418" s="60"/>
      <c r="V418" s="44"/>
      <c r="W418" s="45"/>
      <c r="X418" s="45"/>
      <c r="Y418" s="45"/>
      <c r="Z418" s="45"/>
      <c r="AA418" s="45"/>
      <c r="AB418" s="45"/>
      <c r="AC418" s="46"/>
    </row>
    <row r="419" spans="1:29" ht="12.75" customHeight="1" x14ac:dyDescent="0.25">
      <c r="A419" s="61" t="s">
        <v>67</v>
      </c>
      <c r="B419" s="62"/>
      <c r="C419" s="62"/>
      <c r="D419" s="62"/>
      <c r="E419" s="62"/>
      <c r="F419" s="62"/>
      <c r="G419" s="62"/>
      <c r="H419" s="63"/>
      <c r="I419" s="38" t="s">
        <v>68</v>
      </c>
      <c r="J419" s="39"/>
      <c r="K419" s="39"/>
      <c r="L419" s="39"/>
      <c r="M419" s="39"/>
      <c r="N419" s="39"/>
      <c r="O419" s="39"/>
      <c r="P419" s="39"/>
      <c r="Q419" s="40"/>
      <c r="R419" s="64" t="s">
        <v>91</v>
      </c>
      <c r="S419" s="39"/>
      <c r="T419" s="39"/>
      <c r="U419" s="40"/>
      <c r="V419" s="65"/>
      <c r="W419" s="66"/>
      <c r="X419" s="66"/>
      <c r="Y419" s="66"/>
      <c r="Z419" s="66"/>
      <c r="AA419" s="66"/>
      <c r="AB419" s="66"/>
      <c r="AC419" s="67"/>
    </row>
    <row r="420" spans="1:29" ht="12.75" customHeight="1" x14ac:dyDescent="0.25">
      <c r="A420" s="71" t="s">
        <v>61</v>
      </c>
      <c r="B420" s="72"/>
      <c r="C420" s="72"/>
      <c r="D420" s="72"/>
      <c r="E420" s="72"/>
      <c r="F420" s="72"/>
      <c r="G420" s="72"/>
      <c r="H420" s="73"/>
      <c r="I420" s="77" t="s">
        <v>60</v>
      </c>
      <c r="J420" s="78"/>
      <c r="K420" s="78"/>
      <c r="L420" s="78"/>
      <c r="M420" s="78"/>
      <c r="N420" s="78"/>
      <c r="O420" s="78"/>
      <c r="P420" s="78"/>
      <c r="Q420" s="79"/>
      <c r="R420" s="83" t="s">
        <v>42</v>
      </c>
      <c r="S420" s="84"/>
      <c r="T420" s="84"/>
      <c r="U420" s="85"/>
      <c r="V420" s="65"/>
      <c r="W420" s="66"/>
      <c r="X420" s="66"/>
      <c r="Y420" s="66"/>
      <c r="Z420" s="66"/>
      <c r="AA420" s="66"/>
      <c r="AB420" s="66"/>
      <c r="AC420" s="67"/>
    </row>
    <row r="421" spans="1:29" ht="6.75" customHeight="1" x14ac:dyDescent="0.25">
      <c r="A421" s="74"/>
      <c r="B421" s="75"/>
      <c r="C421" s="75"/>
      <c r="D421" s="75"/>
      <c r="E421" s="75"/>
      <c r="F421" s="75"/>
      <c r="G421" s="75"/>
      <c r="H421" s="76"/>
      <c r="I421" s="80"/>
      <c r="J421" s="81"/>
      <c r="K421" s="81"/>
      <c r="L421" s="81"/>
      <c r="M421" s="81"/>
      <c r="N421" s="81"/>
      <c r="O421" s="81"/>
      <c r="P421" s="81"/>
      <c r="Q421" s="82"/>
      <c r="R421" s="86"/>
      <c r="S421" s="87"/>
      <c r="T421" s="87"/>
      <c r="U421" s="88"/>
      <c r="V421" s="68"/>
      <c r="W421" s="69"/>
      <c r="X421" s="69"/>
      <c r="Y421" s="69"/>
      <c r="Z421" s="69"/>
      <c r="AA421" s="69"/>
      <c r="AB421" s="69"/>
      <c r="AC421" s="70"/>
    </row>
    <row r="422" spans="1:29" ht="10.5" customHeight="1" x14ac:dyDescent="0.25"/>
    <row r="423" spans="1:29" ht="12" customHeight="1" x14ac:dyDescent="0.25">
      <c r="A423" s="4" t="s">
        <v>31</v>
      </c>
    </row>
    <row r="424" spans="1:29" ht="12.75" customHeight="1" x14ac:dyDescent="0.25">
      <c r="L424" s="50" t="s">
        <v>15</v>
      </c>
      <c r="M424" s="50"/>
      <c r="N424" s="50"/>
      <c r="O424" s="51" t="s">
        <v>16</v>
      </c>
      <c r="P424" s="51"/>
      <c r="Q424" s="51"/>
      <c r="R424" s="50" t="s">
        <v>32</v>
      </c>
      <c r="S424" s="50"/>
      <c r="T424" s="50"/>
      <c r="U424" s="52"/>
      <c r="V424" s="51" t="s">
        <v>33</v>
      </c>
      <c r="W424" s="51"/>
      <c r="X424" s="51"/>
      <c r="Y424" s="51"/>
      <c r="Z424" s="51"/>
      <c r="AA424" s="51" t="s">
        <v>0</v>
      </c>
      <c r="AB424" s="51"/>
      <c r="AC424" s="51"/>
    </row>
    <row r="425" spans="1:29" ht="12.75" customHeight="1" x14ac:dyDescent="0.25">
      <c r="L425" s="50"/>
      <c r="M425" s="50"/>
      <c r="N425" s="50"/>
      <c r="O425" s="51"/>
      <c r="P425" s="51"/>
      <c r="Q425" s="51"/>
      <c r="R425" s="50"/>
      <c r="S425" s="50"/>
      <c r="T425" s="50"/>
      <c r="U425" s="52"/>
      <c r="V425" s="51"/>
      <c r="W425" s="51"/>
      <c r="X425" s="51"/>
      <c r="Y425" s="51"/>
      <c r="Z425" s="51"/>
      <c r="AA425" s="51"/>
      <c r="AB425" s="51"/>
      <c r="AC425" s="51"/>
    </row>
    <row r="426" spans="1:29" ht="20.25" customHeight="1" x14ac:dyDescent="0.3">
      <c r="A426" s="53" t="s">
        <v>69</v>
      </c>
      <c r="B426" s="54"/>
      <c r="C426" s="54"/>
      <c r="D426" s="54"/>
      <c r="E426" s="54"/>
      <c r="F426" s="54"/>
      <c r="G426" s="54"/>
      <c r="H426" s="54"/>
      <c r="I426" s="54"/>
      <c r="J426" s="54"/>
      <c r="K426" s="55"/>
      <c r="L426" s="132">
        <f>L368+L310+L252</f>
        <v>59</v>
      </c>
      <c r="M426" s="132"/>
      <c r="N426" s="132"/>
      <c r="O426" s="132">
        <f>O368+O310+O252</f>
        <v>6</v>
      </c>
      <c r="P426" s="132"/>
      <c r="Q426" s="132"/>
      <c r="R426" s="132">
        <f>R368+R310+R252</f>
        <v>0</v>
      </c>
      <c r="S426" s="132"/>
      <c r="T426" s="132"/>
      <c r="U426" s="133"/>
      <c r="V426" s="132">
        <f>V368+V310+V252</f>
        <v>0</v>
      </c>
      <c r="W426" s="132"/>
      <c r="X426" s="132"/>
      <c r="Y426" s="132"/>
      <c r="Z426" s="132"/>
      <c r="AA426" s="89">
        <f>V426+R426+O426+L426</f>
        <v>65</v>
      </c>
      <c r="AB426" s="89"/>
      <c r="AC426" s="89"/>
    </row>
    <row r="427" spans="1:29" ht="20.25" customHeight="1" x14ac:dyDescent="0.3">
      <c r="A427" s="53" t="s">
        <v>34</v>
      </c>
      <c r="B427" s="54"/>
      <c r="C427" s="54"/>
      <c r="D427" s="54"/>
      <c r="E427" s="54"/>
      <c r="F427" s="54"/>
      <c r="G427" s="54"/>
      <c r="H427" s="54"/>
      <c r="I427" s="54"/>
      <c r="J427" s="54"/>
      <c r="K427" s="55"/>
      <c r="L427" s="132">
        <f>L369+L311+L253</f>
        <v>22</v>
      </c>
      <c r="M427" s="132"/>
      <c r="N427" s="132"/>
      <c r="O427" s="132">
        <f>O369+O311+O253</f>
        <v>0</v>
      </c>
      <c r="P427" s="132"/>
      <c r="Q427" s="132"/>
      <c r="R427" s="132">
        <f>R369+R311+R253</f>
        <v>0</v>
      </c>
      <c r="S427" s="132"/>
      <c r="T427" s="132"/>
      <c r="U427" s="133"/>
      <c r="V427" s="132">
        <f>V369+V311+V253</f>
        <v>3</v>
      </c>
      <c r="W427" s="132"/>
      <c r="X427" s="132"/>
      <c r="Y427" s="132"/>
      <c r="Z427" s="132"/>
      <c r="AA427" s="89">
        <f>V427+R427+O427+L427</f>
        <v>25</v>
      </c>
      <c r="AB427" s="89"/>
      <c r="AC427" s="89"/>
    </row>
    <row r="428" spans="1:29" ht="20.25" customHeight="1" x14ac:dyDescent="0.3">
      <c r="A428" s="53" t="s">
        <v>70</v>
      </c>
      <c r="B428" s="54"/>
      <c r="C428" s="54"/>
      <c r="D428" s="54"/>
      <c r="E428" s="54"/>
      <c r="F428" s="54"/>
      <c r="G428" s="54"/>
      <c r="H428" s="54"/>
      <c r="I428" s="54"/>
      <c r="J428" s="54"/>
      <c r="K428" s="55"/>
      <c r="L428" s="132">
        <f>L370+L312+L254</f>
        <v>1</v>
      </c>
      <c r="M428" s="132"/>
      <c r="N428" s="132"/>
      <c r="O428" s="132">
        <f>O370+O312+O254</f>
        <v>0</v>
      </c>
      <c r="P428" s="132"/>
      <c r="Q428" s="132"/>
      <c r="R428" s="132">
        <f>R370+R312+R254</f>
        <v>0</v>
      </c>
      <c r="S428" s="132"/>
      <c r="T428" s="132"/>
      <c r="U428" s="133"/>
      <c r="V428" s="132">
        <f>V370+V312+V254</f>
        <v>0</v>
      </c>
      <c r="W428" s="132"/>
      <c r="X428" s="132"/>
      <c r="Y428" s="132"/>
      <c r="Z428" s="132"/>
      <c r="AA428" s="89">
        <f>V428+R428+O428+L428</f>
        <v>1</v>
      </c>
      <c r="AB428" s="89"/>
      <c r="AC428" s="89"/>
    </row>
    <row r="429" spans="1:29" ht="21" customHeight="1" x14ac:dyDescent="0.3">
      <c r="A429" s="53" t="s">
        <v>35</v>
      </c>
      <c r="B429" s="54"/>
      <c r="C429" s="54"/>
      <c r="D429" s="54"/>
      <c r="E429" s="54"/>
      <c r="F429" s="54"/>
      <c r="G429" s="54"/>
      <c r="H429" s="54"/>
      <c r="I429" s="54"/>
      <c r="J429" s="54"/>
      <c r="K429" s="55"/>
      <c r="L429" s="132">
        <f>L371+L313+L255</f>
        <v>4</v>
      </c>
      <c r="M429" s="132"/>
      <c r="N429" s="132"/>
      <c r="O429" s="132">
        <f>O371+O313+O255</f>
        <v>0</v>
      </c>
      <c r="P429" s="132"/>
      <c r="Q429" s="132"/>
      <c r="R429" s="132">
        <f>R371+R313+R255</f>
        <v>0</v>
      </c>
      <c r="S429" s="132"/>
      <c r="T429" s="132"/>
      <c r="U429" s="133"/>
      <c r="V429" s="132">
        <f>V371+V313+V255</f>
        <v>0</v>
      </c>
      <c r="W429" s="132"/>
      <c r="X429" s="132"/>
      <c r="Y429" s="132"/>
      <c r="Z429" s="132"/>
      <c r="AA429" s="89">
        <f>V429+R429+O429+L429</f>
        <v>4</v>
      </c>
      <c r="AB429" s="89"/>
      <c r="AC429" s="89"/>
    </row>
    <row r="430" spans="1:29" ht="4.5" customHeight="1" x14ac:dyDescent="0.25"/>
    <row r="431" spans="1:29" ht="12.75" customHeight="1" x14ac:dyDescent="0.25">
      <c r="A431" s="95" t="s">
        <v>36</v>
      </c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</row>
    <row r="432" spans="1:29" ht="12.75" customHeight="1" x14ac:dyDescent="0.25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</row>
    <row r="433" spans="1:36" ht="0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36" ht="17.25" customHeight="1" x14ac:dyDescent="0.25">
      <c r="J434" s="96" t="s">
        <v>9</v>
      </c>
      <c r="K434" s="97"/>
      <c r="L434" s="98" t="s">
        <v>10</v>
      </c>
      <c r="M434" s="94"/>
      <c r="N434" s="94" t="s">
        <v>3</v>
      </c>
      <c r="O434" s="94"/>
      <c r="P434" s="94" t="s">
        <v>4</v>
      </c>
      <c r="Q434" s="94"/>
      <c r="R434" s="94" t="s">
        <v>5</v>
      </c>
      <c r="S434" s="94"/>
      <c r="T434" s="94" t="s">
        <v>6</v>
      </c>
      <c r="U434" s="94"/>
      <c r="V434" s="94" t="s">
        <v>7</v>
      </c>
      <c r="W434" s="94"/>
      <c r="X434" s="94" t="s">
        <v>11</v>
      </c>
      <c r="Y434" s="94"/>
      <c r="Z434" s="99" t="s">
        <v>49</v>
      </c>
      <c r="AA434" s="99"/>
      <c r="AB434" s="94" t="s">
        <v>0</v>
      </c>
      <c r="AC434" s="94"/>
    </row>
    <row r="435" spans="1:36" ht="17.25" customHeight="1" x14ac:dyDescent="0.25">
      <c r="J435" s="2" t="s">
        <v>1</v>
      </c>
      <c r="K435" s="2" t="s">
        <v>2</v>
      </c>
      <c r="L435" s="2" t="s">
        <v>1</v>
      </c>
      <c r="M435" s="2" t="s">
        <v>2</v>
      </c>
      <c r="N435" s="2" t="s">
        <v>1</v>
      </c>
      <c r="O435" s="2" t="s">
        <v>2</v>
      </c>
      <c r="P435" s="2" t="s">
        <v>1</v>
      </c>
      <c r="Q435" s="2" t="s">
        <v>2</v>
      </c>
      <c r="R435" s="2" t="s">
        <v>1</v>
      </c>
      <c r="S435" s="2" t="s">
        <v>2</v>
      </c>
      <c r="T435" s="2" t="s">
        <v>1</v>
      </c>
      <c r="U435" s="2" t="s">
        <v>2</v>
      </c>
      <c r="V435" s="2" t="s">
        <v>1</v>
      </c>
      <c r="W435" s="2" t="s">
        <v>2</v>
      </c>
      <c r="X435" s="2" t="s">
        <v>1</v>
      </c>
      <c r="Y435" s="2" t="s">
        <v>2</v>
      </c>
      <c r="Z435" s="17" t="s">
        <v>1</v>
      </c>
      <c r="AA435" s="17" t="s">
        <v>2</v>
      </c>
      <c r="AB435" s="94"/>
      <c r="AC435" s="94"/>
    </row>
    <row r="436" spans="1:36" ht="18.75" customHeight="1" x14ac:dyDescent="0.25">
      <c r="A436" s="90" t="s">
        <v>71</v>
      </c>
      <c r="B436" s="91"/>
      <c r="C436" s="91"/>
      <c r="D436" s="91"/>
      <c r="E436" s="91"/>
      <c r="F436" s="91"/>
      <c r="G436" s="91"/>
      <c r="H436" s="91"/>
      <c r="I436" s="92"/>
      <c r="J436" s="26">
        <f>J378+J320+J262</f>
        <v>0</v>
      </c>
      <c r="K436" s="26">
        <f t="shared" ref="K436:Y436" si="16">K378+K320+K262</f>
        <v>0</v>
      </c>
      <c r="L436" s="26">
        <f t="shared" si="16"/>
        <v>0</v>
      </c>
      <c r="M436" s="26">
        <f t="shared" si="16"/>
        <v>1</v>
      </c>
      <c r="N436" s="26">
        <f t="shared" si="16"/>
        <v>5</v>
      </c>
      <c r="O436" s="26">
        <f t="shared" si="16"/>
        <v>11</v>
      </c>
      <c r="P436" s="26">
        <f t="shared" si="16"/>
        <v>7</v>
      </c>
      <c r="Q436" s="26">
        <f t="shared" si="16"/>
        <v>7</v>
      </c>
      <c r="R436" s="26">
        <f t="shared" si="16"/>
        <v>7</v>
      </c>
      <c r="S436" s="26">
        <f t="shared" si="16"/>
        <v>3</v>
      </c>
      <c r="T436" s="26">
        <f t="shared" si="16"/>
        <v>3</v>
      </c>
      <c r="U436" s="26">
        <f t="shared" si="16"/>
        <v>3</v>
      </c>
      <c r="V436" s="26">
        <f t="shared" si="16"/>
        <v>6</v>
      </c>
      <c r="W436" s="26">
        <f t="shared" si="16"/>
        <v>6</v>
      </c>
      <c r="X436" s="26">
        <f t="shared" si="16"/>
        <v>4</v>
      </c>
      <c r="Y436" s="26">
        <f t="shared" si="16"/>
        <v>2</v>
      </c>
      <c r="Z436" s="18">
        <f>X436+V436+T436+R436+P436+N436+L436+J436</f>
        <v>32</v>
      </c>
      <c r="AA436" s="18">
        <f>Y436+W436+U436+S436+Q436+O436+M436+K436</f>
        <v>33</v>
      </c>
      <c r="AB436" s="93">
        <f t="shared" ref="AB436:AB441" si="17">AA436+Z436</f>
        <v>65</v>
      </c>
      <c r="AC436" s="93"/>
    </row>
    <row r="437" spans="1:36" ht="18.75" customHeight="1" x14ac:dyDescent="0.25">
      <c r="A437" s="53" t="s">
        <v>37</v>
      </c>
      <c r="B437" s="54"/>
      <c r="C437" s="54"/>
      <c r="D437" s="54"/>
      <c r="E437" s="54"/>
      <c r="F437" s="54"/>
      <c r="G437" s="54"/>
      <c r="H437" s="54"/>
      <c r="I437" s="55"/>
      <c r="J437" s="26">
        <f t="shared" ref="J437:Y441" si="18">J379+J321+J263</f>
        <v>0</v>
      </c>
      <c r="K437" s="26">
        <f t="shared" si="18"/>
        <v>0</v>
      </c>
      <c r="L437" s="26">
        <f t="shared" si="18"/>
        <v>0</v>
      </c>
      <c r="M437" s="26">
        <f t="shared" si="18"/>
        <v>0</v>
      </c>
      <c r="N437" s="26">
        <f t="shared" si="18"/>
        <v>4</v>
      </c>
      <c r="O437" s="26">
        <f t="shared" si="18"/>
        <v>5</v>
      </c>
      <c r="P437" s="26">
        <f t="shared" si="18"/>
        <v>2</v>
      </c>
      <c r="Q437" s="26">
        <f t="shared" si="18"/>
        <v>1</v>
      </c>
      <c r="R437" s="26">
        <f t="shared" si="18"/>
        <v>1</v>
      </c>
      <c r="S437" s="26">
        <f t="shared" si="18"/>
        <v>1</v>
      </c>
      <c r="T437" s="26">
        <f t="shared" si="18"/>
        <v>3</v>
      </c>
      <c r="U437" s="26">
        <f t="shared" si="18"/>
        <v>1</v>
      </c>
      <c r="V437" s="26">
        <f t="shared" si="18"/>
        <v>0</v>
      </c>
      <c r="W437" s="26">
        <f t="shared" si="18"/>
        <v>2</v>
      </c>
      <c r="X437" s="26">
        <f t="shared" si="18"/>
        <v>1</v>
      </c>
      <c r="Y437" s="26">
        <f t="shared" si="18"/>
        <v>1</v>
      </c>
      <c r="Z437" s="18">
        <f t="shared" ref="Z437:AA441" si="19">X437+V437+T437+R437+P437+N437+L437+J437</f>
        <v>11</v>
      </c>
      <c r="AA437" s="18">
        <f t="shared" si="19"/>
        <v>11</v>
      </c>
      <c r="AB437" s="93">
        <f t="shared" si="17"/>
        <v>22</v>
      </c>
      <c r="AC437" s="93"/>
    </row>
    <row r="438" spans="1:36" ht="24" customHeight="1" x14ac:dyDescent="0.25">
      <c r="A438" s="90" t="s">
        <v>72</v>
      </c>
      <c r="B438" s="91"/>
      <c r="C438" s="91"/>
      <c r="D438" s="91"/>
      <c r="E438" s="91"/>
      <c r="F438" s="91"/>
      <c r="G438" s="91"/>
      <c r="H438" s="91"/>
      <c r="I438" s="92"/>
      <c r="J438" s="26">
        <f t="shared" si="18"/>
        <v>0</v>
      </c>
      <c r="K438" s="26">
        <f t="shared" si="18"/>
        <v>0</v>
      </c>
      <c r="L438" s="26">
        <f t="shared" si="18"/>
        <v>0</v>
      </c>
      <c r="M438" s="26">
        <f t="shared" si="18"/>
        <v>0</v>
      </c>
      <c r="N438" s="26">
        <f t="shared" si="18"/>
        <v>0</v>
      </c>
      <c r="O438" s="26">
        <f t="shared" si="18"/>
        <v>0</v>
      </c>
      <c r="P438" s="26">
        <f t="shared" si="18"/>
        <v>0</v>
      </c>
      <c r="Q438" s="26">
        <f t="shared" si="18"/>
        <v>0</v>
      </c>
      <c r="R438" s="26">
        <f t="shared" si="18"/>
        <v>0</v>
      </c>
      <c r="S438" s="26">
        <f t="shared" si="18"/>
        <v>0</v>
      </c>
      <c r="T438" s="26">
        <f t="shared" si="18"/>
        <v>0</v>
      </c>
      <c r="U438" s="26">
        <f t="shared" si="18"/>
        <v>0</v>
      </c>
      <c r="V438" s="26">
        <f t="shared" si="18"/>
        <v>0</v>
      </c>
      <c r="W438" s="26">
        <f t="shared" si="18"/>
        <v>1</v>
      </c>
      <c r="X438" s="26">
        <f t="shared" si="18"/>
        <v>0</v>
      </c>
      <c r="Y438" s="26">
        <f t="shared" si="18"/>
        <v>0</v>
      </c>
      <c r="Z438" s="18">
        <f t="shared" si="19"/>
        <v>0</v>
      </c>
      <c r="AA438" s="18">
        <f t="shared" si="19"/>
        <v>1</v>
      </c>
      <c r="AB438" s="93">
        <f t="shared" si="17"/>
        <v>1</v>
      </c>
      <c r="AC438" s="93"/>
    </row>
    <row r="439" spans="1:36" ht="18.75" customHeight="1" x14ac:dyDescent="0.25">
      <c r="A439" s="90" t="s">
        <v>38</v>
      </c>
      <c r="B439" s="91"/>
      <c r="C439" s="91"/>
      <c r="D439" s="91"/>
      <c r="E439" s="91"/>
      <c r="F439" s="91"/>
      <c r="G439" s="91"/>
      <c r="H439" s="91"/>
      <c r="I439" s="92"/>
      <c r="J439" s="26">
        <f t="shared" si="18"/>
        <v>0</v>
      </c>
      <c r="K439" s="26">
        <f t="shared" si="18"/>
        <v>0</v>
      </c>
      <c r="L439" s="26">
        <f t="shared" si="18"/>
        <v>0</v>
      </c>
      <c r="M439" s="26">
        <f t="shared" si="18"/>
        <v>0</v>
      </c>
      <c r="N439" s="26">
        <f t="shared" si="18"/>
        <v>0</v>
      </c>
      <c r="O439" s="26">
        <f t="shared" si="18"/>
        <v>2</v>
      </c>
      <c r="P439" s="26">
        <f t="shared" si="18"/>
        <v>0</v>
      </c>
      <c r="Q439" s="26">
        <f t="shared" si="18"/>
        <v>0</v>
      </c>
      <c r="R439" s="26">
        <f t="shared" si="18"/>
        <v>1</v>
      </c>
      <c r="S439" s="26">
        <f t="shared" si="18"/>
        <v>0</v>
      </c>
      <c r="T439" s="26">
        <f t="shared" si="18"/>
        <v>0</v>
      </c>
      <c r="U439" s="26">
        <f t="shared" si="18"/>
        <v>0</v>
      </c>
      <c r="V439" s="26">
        <f t="shared" si="18"/>
        <v>0</v>
      </c>
      <c r="W439" s="26">
        <f t="shared" si="18"/>
        <v>0</v>
      </c>
      <c r="X439" s="26">
        <f t="shared" si="18"/>
        <v>0</v>
      </c>
      <c r="Y439" s="26">
        <f t="shared" si="18"/>
        <v>1</v>
      </c>
      <c r="Z439" s="18">
        <f t="shared" si="19"/>
        <v>1</v>
      </c>
      <c r="AA439" s="18">
        <f t="shared" si="19"/>
        <v>3</v>
      </c>
      <c r="AB439" s="93">
        <f t="shared" si="17"/>
        <v>4</v>
      </c>
      <c r="AC439" s="93"/>
    </row>
    <row r="440" spans="1:36" ht="18.75" customHeight="1" x14ac:dyDescent="0.25">
      <c r="A440" s="90" t="s">
        <v>39</v>
      </c>
      <c r="B440" s="91"/>
      <c r="C440" s="91"/>
      <c r="D440" s="91"/>
      <c r="E440" s="91"/>
      <c r="F440" s="91"/>
      <c r="G440" s="91"/>
      <c r="H440" s="91"/>
      <c r="I440" s="92"/>
      <c r="J440" s="26">
        <f t="shared" si="18"/>
        <v>0</v>
      </c>
      <c r="K440" s="26">
        <f t="shared" si="18"/>
        <v>0</v>
      </c>
      <c r="L440" s="26">
        <f t="shared" si="18"/>
        <v>0</v>
      </c>
      <c r="M440" s="26">
        <f t="shared" si="18"/>
        <v>0</v>
      </c>
      <c r="N440" s="26">
        <f t="shared" si="18"/>
        <v>0</v>
      </c>
      <c r="O440" s="26">
        <f t="shared" si="18"/>
        <v>0</v>
      </c>
      <c r="P440" s="26">
        <f t="shared" si="18"/>
        <v>0</v>
      </c>
      <c r="Q440" s="26">
        <f t="shared" si="18"/>
        <v>0</v>
      </c>
      <c r="R440" s="26">
        <f t="shared" si="18"/>
        <v>0</v>
      </c>
      <c r="S440" s="26">
        <f t="shared" si="18"/>
        <v>0</v>
      </c>
      <c r="T440" s="26">
        <f t="shared" si="18"/>
        <v>0</v>
      </c>
      <c r="U440" s="26">
        <f t="shared" si="18"/>
        <v>0</v>
      </c>
      <c r="V440" s="26">
        <f t="shared" si="18"/>
        <v>0</v>
      </c>
      <c r="W440" s="26">
        <f t="shared" si="18"/>
        <v>0</v>
      </c>
      <c r="X440" s="26">
        <f t="shared" si="18"/>
        <v>0</v>
      </c>
      <c r="Y440" s="26">
        <f t="shared" si="18"/>
        <v>0</v>
      </c>
      <c r="Z440" s="18">
        <f t="shared" si="19"/>
        <v>0</v>
      </c>
      <c r="AA440" s="18">
        <f t="shared" si="19"/>
        <v>0</v>
      </c>
      <c r="AB440" s="93">
        <f t="shared" si="17"/>
        <v>0</v>
      </c>
      <c r="AC440" s="93"/>
    </row>
    <row r="441" spans="1:36" ht="18.75" customHeight="1" x14ac:dyDescent="0.25">
      <c r="A441" s="90" t="s">
        <v>17</v>
      </c>
      <c r="B441" s="91"/>
      <c r="C441" s="91"/>
      <c r="D441" s="91"/>
      <c r="E441" s="91"/>
      <c r="F441" s="91"/>
      <c r="G441" s="91"/>
      <c r="H441" s="91"/>
      <c r="I441" s="92"/>
      <c r="J441" s="26">
        <f t="shared" si="18"/>
        <v>0</v>
      </c>
      <c r="K441" s="26">
        <f t="shared" si="18"/>
        <v>0</v>
      </c>
      <c r="L441" s="26">
        <f t="shared" si="18"/>
        <v>0</v>
      </c>
      <c r="M441" s="26">
        <f t="shared" si="18"/>
        <v>0</v>
      </c>
      <c r="N441" s="26">
        <f t="shared" si="18"/>
        <v>0</v>
      </c>
      <c r="O441" s="26">
        <f t="shared" si="18"/>
        <v>0</v>
      </c>
      <c r="P441" s="26">
        <f t="shared" si="18"/>
        <v>0</v>
      </c>
      <c r="Q441" s="26">
        <f t="shared" si="18"/>
        <v>0</v>
      </c>
      <c r="R441" s="26">
        <f t="shared" si="18"/>
        <v>0</v>
      </c>
      <c r="S441" s="26">
        <f t="shared" si="18"/>
        <v>1</v>
      </c>
      <c r="T441" s="26">
        <f t="shared" si="18"/>
        <v>0</v>
      </c>
      <c r="U441" s="26">
        <f t="shared" si="18"/>
        <v>0</v>
      </c>
      <c r="V441" s="26">
        <f t="shared" si="18"/>
        <v>0</v>
      </c>
      <c r="W441" s="26">
        <f t="shared" si="18"/>
        <v>0</v>
      </c>
      <c r="X441" s="26">
        <f t="shared" si="18"/>
        <v>1</v>
      </c>
      <c r="Y441" s="26">
        <f t="shared" si="18"/>
        <v>1</v>
      </c>
      <c r="Z441" s="18">
        <f t="shared" si="19"/>
        <v>1</v>
      </c>
      <c r="AA441" s="18">
        <f t="shared" si="19"/>
        <v>2</v>
      </c>
      <c r="AB441" s="93">
        <f t="shared" si="17"/>
        <v>3</v>
      </c>
      <c r="AC441" s="93"/>
    </row>
    <row r="442" spans="1:36" ht="9" customHeight="1" x14ac:dyDescent="0.25"/>
    <row r="443" spans="1:36" ht="1.5" hidden="1" customHeight="1" x14ac:dyDescent="0.25"/>
    <row r="444" spans="1:36" ht="15.75" x14ac:dyDescent="0.25">
      <c r="A444" s="4" t="s">
        <v>73</v>
      </c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N444" s="4" t="s">
        <v>20</v>
      </c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36" ht="15" customHeight="1" x14ac:dyDescent="0.25">
      <c r="A445" s="123" t="s">
        <v>74</v>
      </c>
      <c r="B445" s="123"/>
      <c r="C445" s="123"/>
      <c r="D445" s="123"/>
      <c r="E445" s="50" t="s">
        <v>75</v>
      </c>
      <c r="F445" s="50"/>
      <c r="G445" s="50"/>
      <c r="H445" s="50"/>
      <c r="I445" s="50" t="s">
        <v>76</v>
      </c>
      <c r="J445" s="50"/>
      <c r="K445" s="50"/>
      <c r="L445" s="50"/>
      <c r="M445" s="9"/>
      <c r="N445" s="124" t="s">
        <v>77</v>
      </c>
      <c r="O445" s="125"/>
      <c r="P445" s="125"/>
      <c r="Q445" s="125"/>
      <c r="R445" s="125"/>
      <c r="S445" s="126"/>
      <c r="T445" s="50" t="s">
        <v>21</v>
      </c>
      <c r="U445" s="50"/>
      <c r="V445" s="50" t="s">
        <v>22</v>
      </c>
      <c r="W445" s="50"/>
      <c r="X445" s="50"/>
      <c r="Y445" s="50"/>
      <c r="Z445" s="50"/>
      <c r="AA445" s="50" t="s">
        <v>23</v>
      </c>
      <c r="AB445" s="50"/>
      <c r="AC445" s="50"/>
      <c r="AD445" s="10"/>
      <c r="AE445" s="3"/>
      <c r="AG445" s="9"/>
      <c r="AH445" s="9"/>
      <c r="AI445" s="9"/>
      <c r="AJ445" s="9"/>
    </row>
    <row r="446" spans="1:36" ht="51" customHeight="1" x14ac:dyDescent="0.25">
      <c r="A446" s="123"/>
      <c r="B446" s="123"/>
      <c r="C446" s="123"/>
      <c r="D446" s="123"/>
      <c r="E446" s="50"/>
      <c r="F446" s="50"/>
      <c r="G446" s="50"/>
      <c r="H446" s="50"/>
      <c r="I446" s="50"/>
      <c r="J446" s="50"/>
      <c r="K446" s="50"/>
      <c r="L446" s="50"/>
      <c r="M446" s="20"/>
      <c r="N446" s="101"/>
      <c r="O446" s="102"/>
      <c r="P446" s="102"/>
      <c r="Q446" s="102"/>
      <c r="R446" s="102"/>
      <c r="S446" s="127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10"/>
      <c r="AE446" s="3"/>
      <c r="AG446" s="21"/>
      <c r="AH446" s="21"/>
      <c r="AI446" s="21"/>
      <c r="AJ446" s="9"/>
    </row>
    <row r="447" spans="1:36" ht="48.75" customHeight="1" x14ac:dyDescent="0.25">
      <c r="A447" s="50" t="s">
        <v>78</v>
      </c>
      <c r="B447" s="50"/>
      <c r="C447" s="52" t="s">
        <v>79</v>
      </c>
      <c r="D447" s="116"/>
      <c r="E447" s="50" t="s">
        <v>78</v>
      </c>
      <c r="F447" s="50"/>
      <c r="G447" s="50" t="s">
        <v>79</v>
      </c>
      <c r="H447" s="50"/>
      <c r="I447" s="117" t="s">
        <v>80</v>
      </c>
      <c r="J447" s="117"/>
      <c r="K447" s="50" t="s">
        <v>81</v>
      </c>
      <c r="L447" s="50"/>
      <c r="M447" s="20"/>
      <c r="N447" s="118" t="s">
        <v>82</v>
      </c>
      <c r="O447" s="119"/>
      <c r="P447" s="120"/>
      <c r="Q447" s="121" t="s">
        <v>83</v>
      </c>
      <c r="R447" s="122"/>
      <c r="S447" s="122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10"/>
      <c r="AE447" s="22"/>
      <c r="AG447" s="21"/>
      <c r="AH447" s="21"/>
      <c r="AI447" s="21"/>
      <c r="AJ447" s="9"/>
    </row>
    <row r="448" spans="1:36" ht="21.75" customHeight="1" x14ac:dyDescent="0.25">
      <c r="A448" s="56">
        <f>A390+A332+A274</f>
        <v>0</v>
      </c>
      <c r="B448" s="56"/>
      <c r="C448" s="56">
        <f>C390+C332+C274</f>
        <v>755</v>
      </c>
      <c r="D448" s="56"/>
      <c r="E448" s="56">
        <f>E390+E332+E274</f>
        <v>0</v>
      </c>
      <c r="F448" s="56"/>
      <c r="G448" s="56">
        <f>G390+G332+G274</f>
        <v>66</v>
      </c>
      <c r="H448" s="56"/>
      <c r="I448" s="56">
        <f>I390+I332+I274</f>
        <v>0</v>
      </c>
      <c r="J448" s="56"/>
      <c r="K448" s="56">
        <f>K390+K332+K274</f>
        <v>0</v>
      </c>
      <c r="L448" s="56"/>
      <c r="M448" s="20"/>
      <c r="N448" s="100">
        <f>N390+N332+N274</f>
        <v>95</v>
      </c>
      <c r="O448" s="100"/>
      <c r="P448" s="100"/>
      <c r="Q448" s="100">
        <f>Q390+Q332+Q274</f>
        <v>79</v>
      </c>
      <c r="R448" s="100"/>
      <c r="S448" s="100"/>
      <c r="T448" s="103">
        <f>T390+T332+T274</f>
        <v>4</v>
      </c>
      <c r="U448" s="103"/>
      <c r="V448" s="103">
        <f>V390+V332+V274</f>
        <v>4</v>
      </c>
      <c r="W448" s="103"/>
      <c r="X448" s="103"/>
      <c r="Y448" s="103"/>
      <c r="Z448" s="103"/>
      <c r="AA448" s="104">
        <f>AA390+AA332+AA274</f>
        <v>4</v>
      </c>
      <c r="AB448" s="104"/>
      <c r="AC448" s="104"/>
      <c r="AD448" s="22"/>
      <c r="AE448" s="23"/>
      <c r="AG448" s="9"/>
      <c r="AH448" s="9"/>
      <c r="AI448" s="9"/>
      <c r="AJ448" s="9"/>
    </row>
    <row r="449" spans="1:40" ht="6" customHeight="1" x14ac:dyDescent="0.25">
      <c r="L449" s="24"/>
      <c r="AG449" s="9"/>
      <c r="AH449" s="9"/>
      <c r="AI449" s="9"/>
      <c r="AJ449" s="9"/>
    </row>
    <row r="450" spans="1:40" ht="15.75" x14ac:dyDescent="0.25">
      <c r="A450" s="4" t="s">
        <v>24</v>
      </c>
      <c r="B450" s="19"/>
      <c r="C450" s="19"/>
      <c r="D450" s="19"/>
      <c r="E450" s="19"/>
      <c r="M450" s="19"/>
      <c r="N450" s="4" t="s">
        <v>25</v>
      </c>
      <c r="O450" s="19"/>
      <c r="AG450" s="9"/>
      <c r="AH450" s="9"/>
      <c r="AI450" s="9"/>
      <c r="AJ450" s="9"/>
    </row>
    <row r="451" spans="1:40" ht="15" customHeight="1" x14ac:dyDescent="0.25">
      <c r="A451" s="50" t="s">
        <v>26</v>
      </c>
      <c r="B451" s="50"/>
      <c r="C451" s="50"/>
      <c r="D451" s="50"/>
      <c r="E451" s="50"/>
      <c r="F451" s="105" t="s">
        <v>27</v>
      </c>
      <c r="G451" s="106"/>
      <c r="H451" s="106"/>
      <c r="I451" s="106"/>
      <c r="J451" s="106"/>
      <c r="K451" s="106"/>
      <c r="L451" s="107"/>
      <c r="M451" s="24"/>
      <c r="N451" s="50" t="s">
        <v>84</v>
      </c>
      <c r="O451" s="50"/>
      <c r="P451" s="50"/>
      <c r="Q451" s="50"/>
      <c r="R451" s="105" t="s">
        <v>28</v>
      </c>
      <c r="S451" s="106"/>
      <c r="T451" s="106"/>
      <c r="U451" s="107"/>
      <c r="V451" s="50" t="s">
        <v>29</v>
      </c>
      <c r="W451" s="50"/>
      <c r="X451" s="50"/>
      <c r="Y451" s="50"/>
      <c r="Z451" s="50"/>
      <c r="AA451" s="106" t="s">
        <v>85</v>
      </c>
      <c r="AB451" s="106"/>
      <c r="AC451" s="107"/>
    </row>
    <row r="452" spans="1:40" x14ac:dyDescent="0.25">
      <c r="A452" s="50"/>
      <c r="B452" s="50"/>
      <c r="C452" s="50"/>
      <c r="D452" s="50"/>
      <c r="E452" s="50"/>
      <c r="F452" s="108"/>
      <c r="G452" s="109"/>
      <c r="H452" s="109"/>
      <c r="I452" s="109"/>
      <c r="J452" s="109"/>
      <c r="K452" s="109"/>
      <c r="L452" s="110"/>
      <c r="M452" s="24"/>
      <c r="N452" s="50"/>
      <c r="O452" s="50"/>
      <c r="P452" s="50"/>
      <c r="Q452" s="50"/>
      <c r="R452" s="108"/>
      <c r="S452" s="109"/>
      <c r="T452" s="109"/>
      <c r="U452" s="110"/>
      <c r="V452" s="50"/>
      <c r="W452" s="50"/>
      <c r="X452" s="50"/>
      <c r="Y452" s="50"/>
      <c r="Z452" s="50"/>
      <c r="AA452" s="109"/>
      <c r="AB452" s="109"/>
      <c r="AC452" s="110"/>
    </row>
    <row r="453" spans="1:40" x14ac:dyDescent="0.25">
      <c r="A453" s="50"/>
      <c r="B453" s="50"/>
      <c r="C453" s="50"/>
      <c r="D453" s="50"/>
      <c r="E453" s="50"/>
      <c r="F453" s="111"/>
      <c r="G453" s="112"/>
      <c r="H453" s="112"/>
      <c r="I453" s="112"/>
      <c r="J453" s="112"/>
      <c r="K453" s="112"/>
      <c r="L453" s="113"/>
      <c r="M453" s="24"/>
      <c r="N453" s="50"/>
      <c r="O453" s="50"/>
      <c r="P453" s="50"/>
      <c r="Q453" s="50"/>
      <c r="R453" s="111"/>
      <c r="S453" s="112"/>
      <c r="T453" s="112"/>
      <c r="U453" s="113"/>
      <c r="V453" s="50"/>
      <c r="W453" s="50"/>
      <c r="X453" s="50"/>
      <c r="Y453" s="50"/>
      <c r="Z453" s="50"/>
      <c r="AA453" s="112"/>
      <c r="AB453" s="112"/>
      <c r="AC453" s="113"/>
    </row>
    <row r="454" spans="1:40" ht="21.75" customHeight="1" x14ac:dyDescent="0.25">
      <c r="A454" s="50">
        <f>A396+A338+A280</f>
        <v>60</v>
      </c>
      <c r="B454" s="50"/>
      <c r="C454" s="50"/>
      <c r="D454" s="50"/>
      <c r="E454" s="50"/>
      <c r="F454" s="111">
        <f>F396+F338+F280</f>
        <v>5</v>
      </c>
      <c r="G454" s="112"/>
      <c r="H454" s="112"/>
      <c r="I454" s="112"/>
      <c r="J454" s="112"/>
      <c r="K454" s="112"/>
      <c r="L454" s="113"/>
      <c r="M454" s="24"/>
      <c r="N454" s="50">
        <f>N396+N338+N280</f>
        <v>7</v>
      </c>
      <c r="O454" s="50"/>
      <c r="P454" s="50"/>
      <c r="Q454" s="50"/>
      <c r="R454" s="50">
        <f>R396+R338+R280</f>
        <v>61</v>
      </c>
      <c r="S454" s="50"/>
      <c r="T454" s="50"/>
      <c r="U454" s="50"/>
      <c r="V454" s="50">
        <f>V396+V338+V280</f>
        <v>197</v>
      </c>
      <c r="W454" s="50"/>
      <c r="X454" s="50"/>
      <c r="Y454" s="50"/>
      <c r="Z454" s="50"/>
      <c r="AA454" s="112">
        <f>AA396+AA338+AA280</f>
        <v>4</v>
      </c>
      <c r="AB454" s="112"/>
      <c r="AC454" s="113"/>
    </row>
    <row r="455" spans="1:40" x14ac:dyDescent="0.25">
      <c r="A455" s="16"/>
      <c r="B455" s="16" t="s">
        <v>86</v>
      </c>
      <c r="C455" s="7" t="s">
        <v>87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40" x14ac:dyDescent="0.25">
      <c r="A456" s="16"/>
      <c r="B456" s="16" t="s">
        <v>12</v>
      </c>
      <c r="C456" s="7" t="s">
        <v>88</v>
      </c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40" x14ac:dyDescent="0.25">
      <c r="A457" s="128"/>
      <c r="B457" s="16" t="s">
        <v>13</v>
      </c>
      <c r="C457" s="7" t="s">
        <v>89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40" ht="15" customHeight="1" x14ac:dyDescent="0.25">
      <c r="A458" s="128"/>
      <c r="B458" s="128" t="s">
        <v>14</v>
      </c>
      <c r="C458" s="137" t="s">
        <v>90</v>
      </c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27"/>
      <c r="AN458" s="15">
        <f ca="1">AN458:AO458</f>
        <v>0</v>
      </c>
    </row>
    <row r="459" spans="1:40" x14ac:dyDescent="0.25">
      <c r="B459" s="128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27"/>
    </row>
    <row r="460" spans="1:40" ht="12.75" customHeight="1" x14ac:dyDescent="0.25">
      <c r="M460" s="129" t="s">
        <v>19</v>
      </c>
      <c r="N460" s="129"/>
      <c r="O460" s="129"/>
      <c r="P460" s="129"/>
      <c r="Q460" s="129"/>
      <c r="R460" s="129"/>
      <c r="S460" s="11"/>
    </row>
    <row r="461" spans="1:40" x14ac:dyDescent="0.25">
      <c r="L461" s="12"/>
      <c r="M461" s="12"/>
      <c r="N461" s="12"/>
      <c r="O461" s="12"/>
      <c r="P461" s="13"/>
      <c r="R461" s="11"/>
      <c r="S461" s="11"/>
    </row>
    <row r="462" spans="1:40" x14ac:dyDescent="0.25">
      <c r="L462" s="9"/>
      <c r="R462" s="25"/>
      <c r="S462" s="25"/>
      <c r="T462" s="9"/>
      <c r="U462" s="9"/>
      <c r="V462" s="9"/>
      <c r="W462" s="9"/>
      <c r="X462" s="9"/>
      <c r="Y462" s="9"/>
      <c r="Z462" s="9"/>
    </row>
    <row r="463" spans="1:40" ht="15.75" x14ac:dyDescent="0.25">
      <c r="L463" s="25"/>
      <c r="M463" s="130" t="s">
        <v>97</v>
      </c>
      <c r="N463" s="130"/>
      <c r="O463" s="130"/>
      <c r="P463" s="130"/>
      <c r="Q463" s="130"/>
      <c r="R463" s="130"/>
      <c r="S463" s="25"/>
      <c r="T463" s="9"/>
      <c r="U463" s="9"/>
      <c r="V463" s="9"/>
      <c r="W463" s="9"/>
      <c r="X463" s="9"/>
      <c r="Y463" s="9"/>
      <c r="Z463" s="9"/>
    </row>
    <row r="464" spans="1:40" ht="15.75" x14ac:dyDescent="0.25">
      <c r="L464" s="25"/>
      <c r="M464" s="131" t="s">
        <v>98</v>
      </c>
      <c r="N464" s="131"/>
      <c r="O464" s="131"/>
      <c r="P464" s="131"/>
      <c r="Q464" s="131"/>
      <c r="R464" s="131"/>
      <c r="S464" s="25"/>
      <c r="T464" s="9"/>
      <c r="U464" s="9"/>
      <c r="V464" s="9"/>
      <c r="W464" s="9"/>
      <c r="X464" s="9"/>
      <c r="Y464" s="9"/>
      <c r="Z464" s="9"/>
    </row>
    <row r="466" spans="1:29" ht="12.75" customHeight="1" x14ac:dyDescent="0.25"/>
    <row r="467" spans="1:29" ht="12.75" customHeight="1" x14ac:dyDescent="0.25"/>
    <row r="468" spans="1:29" ht="12.75" customHeight="1" x14ac:dyDescent="0.25">
      <c r="A468" s="34" t="s">
        <v>41</v>
      </c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spans="1:29" ht="12" customHeight="1" x14ac:dyDescent="0.25">
      <c r="A469" s="35" t="s">
        <v>30</v>
      </c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</row>
    <row r="470" spans="1:29" ht="12" customHeight="1" x14ac:dyDescent="0.25">
      <c r="A470" s="35" t="s">
        <v>46</v>
      </c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</row>
    <row r="471" spans="1:29" ht="12" customHeight="1" x14ac:dyDescent="0.25">
      <c r="A471" s="36" t="s">
        <v>62</v>
      </c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</row>
    <row r="472" spans="1:29" ht="12" customHeight="1" x14ac:dyDescent="0.25">
      <c r="A472" s="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5">
      <c r="A473" s="37" t="s">
        <v>63</v>
      </c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 spans="1:29" ht="6" customHeight="1" x14ac:dyDescent="0.25"/>
    <row r="475" spans="1:29" ht="12.75" customHeight="1" x14ac:dyDescent="0.25">
      <c r="A475" s="38" t="s">
        <v>64</v>
      </c>
      <c r="B475" s="39"/>
      <c r="C475" s="39"/>
      <c r="D475" s="39"/>
      <c r="E475" s="39"/>
      <c r="F475" s="39"/>
      <c r="G475" s="39"/>
      <c r="H475" s="40"/>
      <c r="I475" s="38" t="s">
        <v>65</v>
      </c>
      <c r="J475" s="39"/>
      <c r="K475" s="39"/>
      <c r="L475" s="39"/>
      <c r="M475" s="39"/>
      <c r="N475" s="39"/>
      <c r="O475" s="39"/>
      <c r="P475" s="39"/>
      <c r="Q475" s="40"/>
      <c r="R475" s="38" t="s">
        <v>18</v>
      </c>
      <c r="S475" s="39"/>
      <c r="T475" s="39"/>
      <c r="U475" s="40"/>
      <c r="V475" s="41" t="s">
        <v>66</v>
      </c>
      <c r="W475" s="42"/>
      <c r="X475" s="42"/>
      <c r="Y475" s="42"/>
      <c r="Z475" s="42"/>
      <c r="AA475" s="42"/>
      <c r="AB475" s="42"/>
      <c r="AC475" s="43"/>
    </row>
    <row r="476" spans="1:29" ht="12.75" customHeight="1" x14ac:dyDescent="0.25">
      <c r="A476" s="47" t="s">
        <v>40</v>
      </c>
      <c r="B476" s="48"/>
      <c r="C476" s="48"/>
      <c r="D476" s="48"/>
      <c r="E476" s="48"/>
      <c r="F476" s="48"/>
      <c r="G476" s="48"/>
      <c r="H476" s="49"/>
      <c r="I476" s="47" t="s">
        <v>61</v>
      </c>
      <c r="J476" s="48"/>
      <c r="K476" s="48"/>
      <c r="L476" s="48"/>
      <c r="M476" s="48"/>
      <c r="N476" s="48"/>
      <c r="O476" s="48"/>
      <c r="P476" s="48"/>
      <c r="Q476" s="49"/>
      <c r="R476" s="58">
        <v>2025</v>
      </c>
      <c r="S476" s="59"/>
      <c r="T476" s="59"/>
      <c r="U476" s="60"/>
      <c r="V476" s="44"/>
      <c r="W476" s="45"/>
      <c r="X476" s="45"/>
      <c r="Y476" s="45"/>
      <c r="Z476" s="45"/>
      <c r="AA476" s="45"/>
      <c r="AB476" s="45"/>
      <c r="AC476" s="46"/>
    </row>
    <row r="477" spans="1:29" ht="12.75" customHeight="1" x14ac:dyDescent="0.25">
      <c r="A477" s="61" t="s">
        <v>67</v>
      </c>
      <c r="B477" s="62"/>
      <c r="C477" s="62"/>
      <c r="D477" s="62"/>
      <c r="E477" s="62"/>
      <c r="F477" s="62"/>
      <c r="G477" s="62"/>
      <c r="H477" s="63"/>
      <c r="I477" s="38" t="s">
        <v>68</v>
      </c>
      <c r="J477" s="39"/>
      <c r="K477" s="39"/>
      <c r="L477" s="39"/>
      <c r="M477" s="39"/>
      <c r="N477" s="39"/>
      <c r="O477" s="39"/>
      <c r="P477" s="39"/>
      <c r="Q477" s="40"/>
      <c r="R477" s="64" t="s">
        <v>47</v>
      </c>
      <c r="S477" s="39"/>
      <c r="T477" s="39"/>
      <c r="U477" s="40"/>
      <c r="V477" s="65"/>
      <c r="W477" s="66"/>
      <c r="X477" s="66"/>
      <c r="Y477" s="66"/>
      <c r="Z477" s="66"/>
      <c r="AA477" s="66"/>
      <c r="AB477" s="66"/>
      <c r="AC477" s="67"/>
    </row>
    <row r="478" spans="1:29" ht="12.75" customHeight="1" x14ac:dyDescent="0.25">
      <c r="A478" s="71" t="s">
        <v>61</v>
      </c>
      <c r="B478" s="72"/>
      <c r="C478" s="72"/>
      <c r="D478" s="72"/>
      <c r="E478" s="72"/>
      <c r="F478" s="72"/>
      <c r="G478" s="72"/>
      <c r="H478" s="73"/>
      <c r="I478" s="77" t="s">
        <v>60</v>
      </c>
      <c r="J478" s="78"/>
      <c r="K478" s="78"/>
      <c r="L478" s="78"/>
      <c r="M478" s="78"/>
      <c r="N478" s="78"/>
      <c r="O478" s="78"/>
      <c r="P478" s="78"/>
      <c r="Q478" s="79"/>
      <c r="R478" s="83" t="s">
        <v>55</v>
      </c>
      <c r="S478" s="84"/>
      <c r="T478" s="84"/>
      <c r="U478" s="85"/>
      <c r="V478" s="65"/>
      <c r="W478" s="66"/>
      <c r="X478" s="66"/>
      <c r="Y478" s="66"/>
      <c r="Z478" s="66"/>
      <c r="AA478" s="66"/>
      <c r="AB478" s="66"/>
      <c r="AC478" s="67"/>
    </row>
    <row r="479" spans="1:29" ht="6.75" customHeight="1" x14ac:dyDescent="0.25">
      <c r="A479" s="74"/>
      <c r="B479" s="75"/>
      <c r="C479" s="75"/>
      <c r="D479" s="75"/>
      <c r="E479" s="75"/>
      <c r="F479" s="75"/>
      <c r="G479" s="75"/>
      <c r="H479" s="76"/>
      <c r="I479" s="80"/>
      <c r="J479" s="81"/>
      <c r="K479" s="81"/>
      <c r="L479" s="81"/>
      <c r="M479" s="81"/>
      <c r="N479" s="81"/>
      <c r="O479" s="81"/>
      <c r="P479" s="81"/>
      <c r="Q479" s="82"/>
      <c r="R479" s="86"/>
      <c r="S479" s="87"/>
      <c r="T479" s="87"/>
      <c r="U479" s="88"/>
      <c r="V479" s="68"/>
      <c r="W479" s="69"/>
      <c r="X479" s="69"/>
      <c r="Y479" s="69"/>
      <c r="Z479" s="69"/>
      <c r="AA479" s="69"/>
      <c r="AB479" s="69"/>
      <c r="AC479" s="70"/>
    </row>
    <row r="480" spans="1:29" ht="10.5" customHeight="1" x14ac:dyDescent="0.25"/>
    <row r="481" spans="1:29" ht="12" customHeight="1" x14ac:dyDescent="0.25">
      <c r="A481" s="4" t="s">
        <v>31</v>
      </c>
    </row>
    <row r="482" spans="1:29" ht="12.75" customHeight="1" x14ac:dyDescent="0.25">
      <c r="L482" s="50" t="s">
        <v>15</v>
      </c>
      <c r="M482" s="50"/>
      <c r="N482" s="50"/>
      <c r="O482" s="51" t="s">
        <v>16</v>
      </c>
      <c r="P482" s="51"/>
      <c r="Q482" s="51"/>
      <c r="R482" s="50" t="s">
        <v>32</v>
      </c>
      <c r="S482" s="50"/>
      <c r="T482" s="50"/>
      <c r="U482" s="52"/>
      <c r="V482" s="51" t="s">
        <v>33</v>
      </c>
      <c r="W482" s="51"/>
      <c r="X482" s="51"/>
      <c r="Y482" s="51"/>
      <c r="Z482" s="51"/>
      <c r="AA482" s="51" t="s">
        <v>0</v>
      </c>
      <c r="AB482" s="51"/>
      <c r="AC482" s="51"/>
    </row>
    <row r="483" spans="1:29" ht="12.75" customHeight="1" x14ac:dyDescent="0.25">
      <c r="L483" s="50"/>
      <c r="M483" s="50"/>
      <c r="N483" s="50"/>
      <c r="O483" s="51"/>
      <c r="P483" s="51"/>
      <c r="Q483" s="51"/>
      <c r="R483" s="50"/>
      <c r="S483" s="50"/>
      <c r="T483" s="50"/>
      <c r="U483" s="52"/>
      <c r="V483" s="51"/>
      <c r="W483" s="51"/>
      <c r="X483" s="51"/>
      <c r="Y483" s="51"/>
      <c r="Z483" s="51"/>
      <c r="AA483" s="51"/>
      <c r="AB483" s="51"/>
      <c r="AC483" s="51"/>
    </row>
    <row r="484" spans="1:29" ht="20.25" customHeight="1" x14ac:dyDescent="0.3">
      <c r="A484" s="53" t="s">
        <v>69</v>
      </c>
      <c r="B484" s="54"/>
      <c r="C484" s="54"/>
      <c r="D484" s="54"/>
      <c r="E484" s="54"/>
      <c r="F484" s="54"/>
      <c r="G484" s="54"/>
      <c r="H484" s="54"/>
      <c r="I484" s="54"/>
      <c r="J484" s="54"/>
      <c r="K484" s="55"/>
      <c r="L484" s="56">
        <v>19</v>
      </c>
      <c r="M484" s="56"/>
      <c r="N484" s="56"/>
      <c r="O484" s="56">
        <v>3</v>
      </c>
      <c r="P484" s="56"/>
      <c r="Q484" s="56"/>
      <c r="R484" s="56">
        <v>0</v>
      </c>
      <c r="S484" s="56"/>
      <c r="T484" s="56"/>
      <c r="U484" s="57"/>
      <c r="V484" s="56">
        <v>0</v>
      </c>
      <c r="W484" s="56"/>
      <c r="X484" s="56"/>
      <c r="Y484" s="56"/>
      <c r="Z484" s="56"/>
      <c r="AA484" s="89">
        <f>V484+R484+O484+L484</f>
        <v>22</v>
      </c>
      <c r="AB484" s="89"/>
      <c r="AC484" s="89"/>
    </row>
    <row r="485" spans="1:29" ht="20.25" customHeight="1" x14ac:dyDescent="0.3">
      <c r="A485" s="53" t="s">
        <v>34</v>
      </c>
      <c r="B485" s="54"/>
      <c r="C485" s="54"/>
      <c r="D485" s="54"/>
      <c r="E485" s="54"/>
      <c r="F485" s="54"/>
      <c r="G485" s="54"/>
      <c r="H485" s="54"/>
      <c r="I485" s="54"/>
      <c r="J485" s="54"/>
      <c r="K485" s="55"/>
      <c r="L485" s="56">
        <v>3</v>
      </c>
      <c r="M485" s="56"/>
      <c r="N485" s="56"/>
      <c r="O485" s="56">
        <v>0</v>
      </c>
      <c r="P485" s="56"/>
      <c r="Q485" s="56"/>
      <c r="R485" s="56">
        <v>0</v>
      </c>
      <c r="S485" s="56"/>
      <c r="T485" s="56"/>
      <c r="U485" s="57"/>
      <c r="V485" s="56">
        <v>0</v>
      </c>
      <c r="W485" s="56"/>
      <c r="X485" s="56"/>
      <c r="Y485" s="56"/>
      <c r="Z485" s="56"/>
      <c r="AA485" s="89">
        <f>V485+R485+O485+L485</f>
        <v>3</v>
      </c>
      <c r="AB485" s="89"/>
      <c r="AC485" s="89"/>
    </row>
    <row r="486" spans="1:29" ht="20.25" customHeight="1" x14ac:dyDescent="0.3">
      <c r="A486" s="53" t="s">
        <v>70</v>
      </c>
      <c r="B486" s="54"/>
      <c r="C486" s="54"/>
      <c r="D486" s="54"/>
      <c r="E486" s="54"/>
      <c r="F486" s="54"/>
      <c r="G486" s="54"/>
      <c r="H486" s="54"/>
      <c r="I486" s="54"/>
      <c r="J486" s="54"/>
      <c r="K486" s="55"/>
      <c r="L486" s="56">
        <v>0</v>
      </c>
      <c r="M486" s="56"/>
      <c r="N486" s="56"/>
      <c r="O486" s="56">
        <v>0</v>
      </c>
      <c r="P486" s="56"/>
      <c r="Q486" s="56"/>
      <c r="R486" s="56">
        <v>0</v>
      </c>
      <c r="S486" s="56"/>
      <c r="T486" s="56"/>
      <c r="U486" s="57"/>
      <c r="V486" s="56">
        <v>0</v>
      </c>
      <c r="W486" s="56"/>
      <c r="X486" s="56"/>
      <c r="Y486" s="56"/>
      <c r="Z486" s="56"/>
      <c r="AA486" s="89">
        <f>V486+R486+O486+L486</f>
        <v>0</v>
      </c>
      <c r="AB486" s="89"/>
      <c r="AC486" s="89"/>
    </row>
    <row r="487" spans="1:29" ht="21" customHeight="1" x14ac:dyDescent="0.3">
      <c r="A487" s="53" t="s">
        <v>35</v>
      </c>
      <c r="B487" s="54"/>
      <c r="C487" s="54"/>
      <c r="D487" s="54"/>
      <c r="E487" s="54"/>
      <c r="F487" s="54"/>
      <c r="G487" s="54"/>
      <c r="H487" s="54"/>
      <c r="I487" s="54"/>
      <c r="J487" s="54"/>
      <c r="K487" s="55"/>
      <c r="L487" s="56">
        <v>4</v>
      </c>
      <c r="M487" s="56"/>
      <c r="N487" s="56"/>
      <c r="O487" s="56">
        <v>0</v>
      </c>
      <c r="P487" s="56"/>
      <c r="Q487" s="56"/>
      <c r="R487" s="56">
        <v>0</v>
      </c>
      <c r="S487" s="56"/>
      <c r="T487" s="56"/>
      <c r="U487" s="57"/>
      <c r="V487" s="56">
        <v>0</v>
      </c>
      <c r="W487" s="56"/>
      <c r="X487" s="56"/>
      <c r="Y487" s="56"/>
      <c r="Z487" s="56"/>
      <c r="AA487" s="89">
        <f>V487+R487+O487+L487</f>
        <v>4</v>
      </c>
      <c r="AB487" s="89"/>
      <c r="AC487" s="89"/>
    </row>
    <row r="488" spans="1:29" ht="4.5" customHeight="1" x14ac:dyDescent="0.25"/>
    <row r="489" spans="1:29" ht="12.75" customHeight="1" x14ac:dyDescent="0.25">
      <c r="A489" s="95" t="s">
        <v>36</v>
      </c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</row>
    <row r="490" spans="1:29" ht="12.75" customHeight="1" x14ac:dyDescent="0.25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</row>
    <row r="491" spans="1:29" ht="0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7.25" customHeight="1" x14ac:dyDescent="0.25">
      <c r="J492" s="96" t="s">
        <v>9</v>
      </c>
      <c r="K492" s="97"/>
      <c r="L492" s="98" t="s">
        <v>10</v>
      </c>
      <c r="M492" s="94"/>
      <c r="N492" s="94" t="s">
        <v>3</v>
      </c>
      <c r="O492" s="94"/>
      <c r="P492" s="94" t="s">
        <v>4</v>
      </c>
      <c r="Q492" s="94"/>
      <c r="R492" s="94" t="s">
        <v>5</v>
      </c>
      <c r="S492" s="94"/>
      <c r="T492" s="94" t="s">
        <v>6</v>
      </c>
      <c r="U492" s="94"/>
      <c r="V492" s="94" t="s">
        <v>7</v>
      </c>
      <c r="W492" s="94"/>
      <c r="X492" s="94" t="s">
        <v>11</v>
      </c>
      <c r="Y492" s="94"/>
      <c r="Z492" s="99" t="s">
        <v>49</v>
      </c>
      <c r="AA492" s="99"/>
      <c r="AB492" s="94" t="s">
        <v>0</v>
      </c>
      <c r="AC492" s="94"/>
    </row>
    <row r="493" spans="1:29" ht="17.25" customHeight="1" x14ac:dyDescent="0.25">
      <c r="J493" s="2" t="s">
        <v>1</v>
      </c>
      <c r="K493" s="2" t="s">
        <v>2</v>
      </c>
      <c r="L493" s="2" t="s">
        <v>1</v>
      </c>
      <c r="M493" s="2" t="s">
        <v>2</v>
      </c>
      <c r="N493" s="2" t="s">
        <v>1</v>
      </c>
      <c r="O493" s="2" t="s">
        <v>2</v>
      </c>
      <c r="P493" s="2" t="s">
        <v>1</v>
      </c>
      <c r="Q493" s="2" t="s">
        <v>2</v>
      </c>
      <c r="R493" s="2" t="s">
        <v>1</v>
      </c>
      <c r="S493" s="2" t="s">
        <v>2</v>
      </c>
      <c r="T493" s="2" t="s">
        <v>1</v>
      </c>
      <c r="U493" s="2" t="s">
        <v>2</v>
      </c>
      <c r="V493" s="2" t="s">
        <v>1</v>
      </c>
      <c r="W493" s="2" t="s">
        <v>2</v>
      </c>
      <c r="X493" s="2" t="s">
        <v>1</v>
      </c>
      <c r="Y493" s="2" t="s">
        <v>2</v>
      </c>
      <c r="Z493" s="17" t="s">
        <v>1</v>
      </c>
      <c r="AA493" s="17" t="s">
        <v>2</v>
      </c>
      <c r="AB493" s="94"/>
      <c r="AC493" s="94"/>
    </row>
    <row r="494" spans="1:29" ht="18.75" customHeight="1" x14ac:dyDescent="0.25">
      <c r="A494" s="90" t="s">
        <v>71</v>
      </c>
      <c r="B494" s="91"/>
      <c r="C494" s="91"/>
      <c r="D494" s="91"/>
      <c r="E494" s="91"/>
      <c r="F494" s="91"/>
      <c r="G494" s="91"/>
      <c r="H494" s="91"/>
      <c r="I494" s="92"/>
      <c r="J494" s="14">
        <v>0</v>
      </c>
      <c r="K494" s="14">
        <v>0</v>
      </c>
      <c r="L494" s="14">
        <v>0</v>
      </c>
      <c r="M494" s="14">
        <v>0</v>
      </c>
      <c r="N494" s="14">
        <v>4</v>
      </c>
      <c r="O494" s="14">
        <v>4</v>
      </c>
      <c r="P494" s="14">
        <v>2</v>
      </c>
      <c r="Q494" s="14">
        <v>1</v>
      </c>
      <c r="R494" s="14">
        <v>2</v>
      </c>
      <c r="S494" s="14">
        <v>4</v>
      </c>
      <c r="T494" s="14">
        <v>0</v>
      </c>
      <c r="U494" s="14">
        <v>0</v>
      </c>
      <c r="V494" s="14">
        <v>1</v>
      </c>
      <c r="W494" s="14">
        <v>1</v>
      </c>
      <c r="X494" s="14">
        <v>1</v>
      </c>
      <c r="Y494" s="14">
        <v>2</v>
      </c>
      <c r="Z494" s="18">
        <f>X494+V494+T494+R494+P494+N494+L494+J494</f>
        <v>10</v>
      </c>
      <c r="AA494" s="18">
        <f>Y494+W494+U494+S494+Q494+O494+M494+K494</f>
        <v>12</v>
      </c>
      <c r="AB494" s="93">
        <f t="shared" ref="AB494:AB499" si="20">AA494+Z494</f>
        <v>22</v>
      </c>
      <c r="AC494" s="93"/>
    </row>
    <row r="495" spans="1:29" ht="18.75" customHeight="1" x14ac:dyDescent="0.25">
      <c r="A495" s="53" t="s">
        <v>37</v>
      </c>
      <c r="B495" s="54"/>
      <c r="C495" s="54"/>
      <c r="D495" s="54"/>
      <c r="E495" s="54"/>
      <c r="F495" s="54"/>
      <c r="G495" s="54"/>
      <c r="H495" s="54"/>
      <c r="I495" s="55"/>
      <c r="J495" s="29">
        <v>0</v>
      </c>
      <c r="K495" s="29">
        <v>0</v>
      </c>
      <c r="L495" s="29">
        <v>0</v>
      </c>
      <c r="M495" s="29">
        <v>0</v>
      </c>
      <c r="N495" s="29">
        <v>1</v>
      </c>
      <c r="O495" s="29">
        <v>0</v>
      </c>
      <c r="P495" s="29">
        <v>0</v>
      </c>
      <c r="Q495" s="29">
        <v>0</v>
      </c>
      <c r="R495" s="29">
        <v>1</v>
      </c>
      <c r="S495" s="29">
        <v>1</v>
      </c>
      <c r="T495" s="29">
        <v>0</v>
      </c>
      <c r="U495" s="29">
        <v>0</v>
      </c>
      <c r="V495" s="29">
        <v>0</v>
      </c>
      <c r="W495" s="29">
        <v>0</v>
      </c>
      <c r="X495" s="29">
        <v>0</v>
      </c>
      <c r="Y495" s="29">
        <v>0</v>
      </c>
      <c r="Z495" s="18">
        <f t="shared" ref="Z495:AA499" si="21">X495+V495+T495+R495+P495+N495+L495+J495</f>
        <v>2</v>
      </c>
      <c r="AA495" s="18">
        <f t="shared" si="21"/>
        <v>1</v>
      </c>
      <c r="AB495" s="93">
        <f t="shared" si="20"/>
        <v>3</v>
      </c>
      <c r="AC495" s="93"/>
    </row>
    <row r="496" spans="1:29" ht="24" customHeight="1" x14ac:dyDescent="0.25">
      <c r="A496" s="90" t="s">
        <v>72</v>
      </c>
      <c r="B496" s="91"/>
      <c r="C496" s="91"/>
      <c r="D496" s="91"/>
      <c r="E496" s="91"/>
      <c r="F496" s="91"/>
      <c r="G496" s="91"/>
      <c r="H496" s="91"/>
      <c r="I496" s="92"/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29">
        <v>0</v>
      </c>
      <c r="T496" s="29">
        <v>0</v>
      </c>
      <c r="U496" s="29">
        <v>0</v>
      </c>
      <c r="V496" s="29">
        <v>0</v>
      </c>
      <c r="W496" s="29">
        <v>0</v>
      </c>
      <c r="X496" s="29">
        <v>0</v>
      </c>
      <c r="Y496" s="29">
        <v>0</v>
      </c>
      <c r="Z496" s="18">
        <f t="shared" si="21"/>
        <v>0</v>
      </c>
      <c r="AA496" s="18">
        <f t="shared" si="21"/>
        <v>0</v>
      </c>
      <c r="AB496" s="93">
        <f t="shared" si="20"/>
        <v>0</v>
      </c>
      <c r="AC496" s="93"/>
    </row>
    <row r="497" spans="1:36" ht="18.75" customHeight="1" x14ac:dyDescent="0.25">
      <c r="A497" s="90" t="s">
        <v>38</v>
      </c>
      <c r="B497" s="91"/>
      <c r="C497" s="91"/>
      <c r="D497" s="91"/>
      <c r="E497" s="91"/>
      <c r="F497" s="91"/>
      <c r="G497" s="91"/>
      <c r="H497" s="91"/>
      <c r="I497" s="92"/>
      <c r="J497" s="29">
        <v>0</v>
      </c>
      <c r="K497" s="29">
        <v>0</v>
      </c>
      <c r="L497" s="29">
        <v>0</v>
      </c>
      <c r="M497" s="29">
        <v>0</v>
      </c>
      <c r="N497" s="29">
        <v>0</v>
      </c>
      <c r="O497" s="29">
        <v>2</v>
      </c>
      <c r="P497" s="29">
        <v>0</v>
      </c>
      <c r="Q497" s="29">
        <v>1</v>
      </c>
      <c r="R497" s="29">
        <v>0</v>
      </c>
      <c r="S497" s="29">
        <v>1</v>
      </c>
      <c r="T497" s="29">
        <v>0</v>
      </c>
      <c r="U497" s="29">
        <v>0</v>
      </c>
      <c r="V497" s="29">
        <v>0</v>
      </c>
      <c r="W497" s="29">
        <v>0</v>
      </c>
      <c r="X497" s="29">
        <v>0</v>
      </c>
      <c r="Y497" s="29">
        <v>0</v>
      </c>
      <c r="Z497" s="18">
        <f t="shared" si="21"/>
        <v>0</v>
      </c>
      <c r="AA497" s="18">
        <f t="shared" si="21"/>
        <v>4</v>
      </c>
      <c r="AB497" s="93">
        <f t="shared" si="20"/>
        <v>4</v>
      </c>
      <c r="AC497" s="93"/>
    </row>
    <row r="498" spans="1:36" ht="18.75" customHeight="1" x14ac:dyDescent="0.25">
      <c r="A498" s="90" t="s">
        <v>39</v>
      </c>
      <c r="B498" s="91"/>
      <c r="C498" s="91"/>
      <c r="D498" s="91"/>
      <c r="E498" s="91"/>
      <c r="F498" s="91"/>
      <c r="G498" s="91"/>
      <c r="H498" s="91"/>
      <c r="I498" s="92"/>
      <c r="J498" s="29">
        <v>0</v>
      </c>
      <c r="K498" s="29">
        <v>0</v>
      </c>
      <c r="L498" s="29">
        <v>0</v>
      </c>
      <c r="M498" s="29">
        <v>0</v>
      </c>
      <c r="N498" s="29">
        <v>0</v>
      </c>
      <c r="O498" s="29">
        <v>0</v>
      </c>
      <c r="P498" s="29">
        <v>0</v>
      </c>
      <c r="Q498" s="29">
        <v>0</v>
      </c>
      <c r="R498" s="29">
        <v>0</v>
      </c>
      <c r="S498" s="29">
        <v>0</v>
      </c>
      <c r="T498" s="29">
        <v>0</v>
      </c>
      <c r="U498" s="29">
        <v>0</v>
      </c>
      <c r="V498" s="29">
        <v>0</v>
      </c>
      <c r="W498" s="29">
        <v>0</v>
      </c>
      <c r="X498" s="29">
        <v>0</v>
      </c>
      <c r="Y498" s="29">
        <v>0</v>
      </c>
      <c r="Z498" s="18">
        <f t="shared" si="21"/>
        <v>0</v>
      </c>
      <c r="AA498" s="18">
        <f t="shared" si="21"/>
        <v>0</v>
      </c>
      <c r="AB498" s="93">
        <f t="shared" si="20"/>
        <v>0</v>
      </c>
      <c r="AC498" s="93"/>
    </row>
    <row r="499" spans="1:36" ht="18.75" customHeight="1" x14ac:dyDescent="0.25">
      <c r="A499" s="90" t="s">
        <v>17</v>
      </c>
      <c r="B499" s="91"/>
      <c r="C499" s="91"/>
      <c r="D499" s="91"/>
      <c r="E499" s="91"/>
      <c r="F499" s="91"/>
      <c r="G499" s="91"/>
      <c r="H499" s="91"/>
      <c r="I499" s="92"/>
      <c r="J499" s="29">
        <v>0</v>
      </c>
      <c r="K499" s="29">
        <v>0</v>
      </c>
      <c r="L499" s="29">
        <v>0</v>
      </c>
      <c r="M499" s="29">
        <v>0</v>
      </c>
      <c r="N499" s="29">
        <v>0</v>
      </c>
      <c r="O499" s="29">
        <v>0</v>
      </c>
      <c r="P499" s="29">
        <v>0</v>
      </c>
      <c r="Q499" s="29">
        <v>0</v>
      </c>
      <c r="R499" s="29">
        <v>0</v>
      </c>
      <c r="S499" s="29">
        <v>0</v>
      </c>
      <c r="T499" s="29">
        <v>0</v>
      </c>
      <c r="U499" s="29">
        <v>0</v>
      </c>
      <c r="V499" s="29">
        <v>0</v>
      </c>
      <c r="W499" s="29">
        <v>0</v>
      </c>
      <c r="X499" s="29">
        <v>0</v>
      </c>
      <c r="Y499" s="29">
        <v>0</v>
      </c>
      <c r="Z499" s="18">
        <f t="shared" si="21"/>
        <v>0</v>
      </c>
      <c r="AA499" s="18">
        <f t="shared" si="21"/>
        <v>0</v>
      </c>
      <c r="AB499" s="93">
        <f t="shared" si="20"/>
        <v>0</v>
      </c>
      <c r="AC499" s="93"/>
    </row>
    <row r="500" spans="1:36" ht="9" customHeight="1" x14ac:dyDescent="0.25"/>
    <row r="501" spans="1:36" ht="1.5" hidden="1" customHeight="1" x14ac:dyDescent="0.25"/>
    <row r="502" spans="1:36" ht="15.75" x14ac:dyDescent="0.25">
      <c r="A502" s="4" t="s">
        <v>73</v>
      </c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N502" s="4" t="s">
        <v>20</v>
      </c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36" ht="15" customHeight="1" x14ac:dyDescent="0.25">
      <c r="A503" s="123" t="s">
        <v>74</v>
      </c>
      <c r="B503" s="123"/>
      <c r="C503" s="123"/>
      <c r="D503" s="123"/>
      <c r="E503" s="50" t="s">
        <v>75</v>
      </c>
      <c r="F503" s="50"/>
      <c r="G503" s="50"/>
      <c r="H503" s="50"/>
      <c r="I503" s="50" t="s">
        <v>76</v>
      </c>
      <c r="J503" s="50"/>
      <c r="K503" s="50"/>
      <c r="L503" s="50"/>
      <c r="M503" s="9"/>
      <c r="N503" s="124" t="s">
        <v>77</v>
      </c>
      <c r="O503" s="125"/>
      <c r="P503" s="125"/>
      <c r="Q503" s="125"/>
      <c r="R503" s="125"/>
      <c r="S503" s="126"/>
      <c r="T503" s="50" t="s">
        <v>21</v>
      </c>
      <c r="U503" s="50"/>
      <c r="V503" s="50" t="s">
        <v>22</v>
      </c>
      <c r="W503" s="50"/>
      <c r="X503" s="50"/>
      <c r="Y503" s="50"/>
      <c r="Z503" s="50"/>
      <c r="AA503" s="50" t="s">
        <v>23</v>
      </c>
      <c r="AB503" s="50"/>
      <c r="AC503" s="50"/>
      <c r="AD503" s="10"/>
      <c r="AE503" s="3"/>
      <c r="AG503" s="9"/>
      <c r="AH503" s="9"/>
      <c r="AI503" s="9"/>
      <c r="AJ503" s="9"/>
    </row>
    <row r="504" spans="1:36" ht="51" customHeight="1" x14ac:dyDescent="0.25">
      <c r="A504" s="123"/>
      <c r="B504" s="123"/>
      <c r="C504" s="123"/>
      <c r="D504" s="123"/>
      <c r="E504" s="50"/>
      <c r="F504" s="50"/>
      <c r="G504" s="50"/>
      <c r="H504" s="50"/>
      <c r="I504" s="50"/>
      <c r="J504" s="50"/>
      <c r="K504" s="50"/>
      <c r="L504" s="50"/>
      <c r="M504" s="20"/>
      <c r="N504" s="101"/>
      <c r="O504" s="102"/>
      <c r="P504" s="102"/>
      <c r="Q504" s="102"/>
      <c r="R504" s="102"/>
      <c r="S504" s="127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10"/>
      <c r="AE504" s="3"/>
      <c r="AG504" s="21"/>
      <c r="AH504" s="21"/>
      <c r="AI504" s="21"/>
      <c r="AJ504" s="9"/>
    </row>
    <row r="505" spans="1:36" ht="48.75" customHeight="1" x14ac:dyDescent="0.25">
      <c r="A505" s="50" t="s">
        <v>78</v>
      </c>
      <c r="B505" s="50"/>
      <c r="C505" s="52" t="s">
        <v>79</v>
      </c>
      <c r="D505" s="116"/>
      <c r="E505" s="50" t="s">
        <v>78</v>
      </c>
      <c r="F505" s="50"/>
      <c r="G505" s="50" t="s">
        <v>79</v>
      </c>
      <c r="H505" s="50"/>
      <c r="I505" s="117" t="s">
        <v>80</v>
      </c>
      <c r="J505" s="117"/>
      <c r="K505" s="50" t="s">
        <v>81</v>
      </c>
      <c r="L505" s="50"/>
      <c r="M505" s="20"/>
      <c r="N505" s="118" t="s">
        <v>82</v>
      </c>
      <c r="O505" s="119"/>
      <c r="P505" s="120"/>
      <c r="Q505" s="121" t="s">
        <v>83</v>
      </c>
      <c r="R505" s="122"/>
      <c r="S505" s="122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10"/>
      <c r="AE505" s="22"/>
      <c r="AG505" s="21"/>
      <c r="AH505" s="21"/>
      <c r="AI505" s="21"/>
      <c r="AJ505" s="9"/>
    </row>
    <row r="506" spans="1:36" ht="21.75" customHeight="1" x14ac:dyDescent="0.25">
      <c r="A506" s="56">
        <v>0</v>
      </c>
      <c r="B506" s="56"/>
      <c r="C506" s="114">
        <v>321</v>
      </c>
      <c r="D506" s="115"/>
      <c r="E506" s="134">
        <v>0</v>
      </c>
      <c r="F506" s="134"/>
      <c r="G506" s="134">
        <v>22</v>
      </c>
      <c r="H506" s="134"/>
      <c r="I506" s="134">
        <v>0</v>
      </c>
      <c r="J506" s="134"/>
      <c r="K506" s="134">
        <v>0</v>
      </c>
      <c r="L506" s="134"/>
      <c r="M506" s="20"/>
      <c r="N506" s="100">
        <v>29</v>
      </c>
      <c r="O506" s="100"/>
      <c r="P506" s="100"/>
      <c r="Q506" s="101">
        <v>27</v>
      </c>
      <c r="R506" s="102"/>
      <c r="S506" s="102"/>
      <c r="T506" s="103">
        <v>0</v>
      </c>
      <c r="U506" s="103"/>
      <c r="V506" s="103">
        <v>0</v>
      </c>
      <c r="W506" s="103"/>
      <c r="X506" s="103"/>
      <c r="Y506" s="103"/>
      <c r="Z506" s="103"/>
      <c r="AA506" s="104">
        <v>0</v>
      </c>
      <c r="AB506" s="104"/>
      <c r="AC506" s="104"/>
      <c r="AD506" s="22"/>
      <c r="AE506" s="23"/>
      <c r="AG506" s="9"/>
      <c r="AH506" s="9"/>
      <c r="AI506" s="9"/>
      <c r="AJ506" s="9"/>
    </row>
    <row r="507" spans="1:36" ht="6" customHeight="1" x14ac:dyDescent="0.25">
      <c r="L507" s="24"/>
      <c r="AG507" s="9"/>
      <c r="AH507" s="9"/>
      <c r="AI507" s="9"/>
      <c r="AJ507" s="9"/>
    </row>
    <row r="508" spans="1:36" ht="15.75" x14ac:dyDescent="0.25">
      <c r="A508" s="4" t="s">
        <v>24</v>
      </c>
      <c r="B508" s="19"/>
      <c r="C508" s="19"/>
      <c r="D508" s="19"/>
      <c r="E508" s="19"/>
      <c r="M508" s="19"/>
      <c r="N508" s="4" t="s">
        <v>25</v>
      </c>
      <c r="O508" s="19"/>
      <c r="AG508" s="9"/>
      <c r="AH508" s="9"/>
      <c r="AI508" s="9"/>
      <c r="AJ508" s="9"/>
    </row>
    <row r="509" spans="1:36" ht="15" customHeight="1" x14ac:dyDescent="0.25">
      <c r="A509" s="50" t="s">
        <v>26</v>
      </c>
      <c r="B509" s="50"/>
      <c r="C509" s="50"/>
      <c r="D509" s="50"/>
      <c r="E509" s="50"/>
      <c r="F509" s="105" t="s">
        <v>27</v>
      </c>
      <c r="G509" s="106"/>
      <c r="H509" s="106"/>
      <c r="I509" s="106"/>
      <c r="J509" s="106"/>
      <c r="K509" s="106"/>
      <c r="L509" s="107"/>
      <c r="M509" s="24"/>
      <c r="N509" s="50" t="s">
        <v>84</v>
      </c>
      <c r="O509" s="50"/>
      <c r="P509" s="50"/>
      <c r="Q509" s="50"/>
      <c r="R509" s="105" t="s">
        <v>28</v>
      </c>
      <c r="S509" s="106"/>
      <c r="T509" s="106"/>
      <c r="U509" s="107"/>
      <c r="V509" s="50" t="s">
        <v>29</v>
      </c>
      <c r="W509" s="50"/>
      <c r="X509" s="50"/>
      <c r="Y509" s="50"/>
      <c r="Z509" s="50"/>
      <c r="AA509" s="106" t="s">
        <v>85</v>
      </c>
      <c r="AB509" s="106"/>
      <c r="AC509" s="107"/>
    </row>
    <row r="510" spans="1:36" x14ac:dyDescent="0.25">
      <c r="A510" s="50"/>
      <c r="B510" s="50"/>
      <c r="C510" s="50"/>
      <c r="D510" s="50"/>
      <c r="E510" s="50"/>
      <c r="F510" s="108"/>
      <c r="G510" s="109"/>
      <c r="H510" s="109"/>
      <c r="I510" s="109"/>
      <c r="J510" s="109"/>
      <c r="K510" s="109"/>
      <c r="L510" s="110"/>
      <c r="M510" s="24"/>
      <c r="N510" s="50"/>
      <c r="O510" s="50"/>
      <c r="P510" s="50"/>
      <c r="Q510" s="50"/>
      <c r="R510" s="108"/>
      <c r="S510" s="109"/>
      <c r="T510" s="109"/>
      <c r="U510" s="110"/>
      <c r="V510" s="50"/>
      <c r="W510" s="50"/>
      <c r="X510" s="50"/>
      <c r="Y510" s="50"/>
      <c r="Z510" s="50"/>
      <c r="AA510" s="109"/>
      <c r="AB510" s="109"/>
      <c r="AC510" s="110"/>
    </row>
    <row r="511" spans="1:36" x14ac:dyDescent="0.25">
      <c r="A511" s="50"/>
      <c r="B511" s="50"/>
      <c r="C511" s="50"/>
      <c r="D511" s="50"/>
      <c r="E511" s="50"/>
      <c r="F511" s="111"/>
      <c r="G511" s="112"/>
      <c r="H511" s="112"/>
      <c r="I511" s="112"/>
      <c r="J511" s="112"/>
      <c r="K511" s="112"/>
      <c r="L511" s="113"/>
      <c r="M511" s="24"/>
      <c r="N511" s="50"/>
      <c r="O511" s="50"/>
      <c r="P511" s="50"/>
      <c r="Q511" s="50"/>
      <c r="R511" s="111"/>
      <c r="S511" s="112"/>
      <c r="T511" s="112"/>
      <c r="U511" s="113"/>
      <c r="V511" s="50"/>
      <c r="W511" s="50"/>
      <c r="X511" s="50"/>
      <c r="Y511" s="50"/>
      <c r="Z511" s="50"/>
      <c r="AA511" s="112"/>
      <c r="AB511" s="112"/>
      <c r="AC511" s="113"/>
    </row>
    <row r="512" spans="1:36" ht="21.75" customHeight="1" x14ac:dyDescent="0.25">
      <c r="A512" s="50">
        <v>13</v>
      </c>
      <c r="B512" s="50"/>
      <c r="C512" s="50"/>
      <c r="D512" s="50"/>
      <c r="E512" s="50"/>
      <c r="F512" s="111">
        <v>1</v>
      </c>
      <c r="G512" s="112"/>
      <c r="H512" s="112"/>
      <c r="I512" s="112"/>
      <c r="J512" s="112"/>
      <c r="K512" s="112"/>
      <c r="L512" s="113"/>
      <c r="M512" s="24"/>
      <c r="N512" s="50">
        <v>8</v>
      </c>
      <c r="O512" s="50"/>
      <c r="P512" s="50"/>
      <c r="Q512" s="50"/>
      <c r="R512" s="111">
        <v>33</v>
      </c>
      <c r="S512" s="112"/>
      <c r="T512" s="112"/>
      <c r="U512" s="113"/>
      <c r="V512" s="50">
        <v>65</v>
      </c>
      <c r="W512" s="50"/>
      <c r="X512" s="50"/>
      <c r="Y512" s="50"/>
      <c r="Z512" s="50"/>
      <c r="AA512" s="112">
        <v>0</v>
      </c>
      <c r="AB512" s="112"/>
      <c r="AC512" s="113"/>
    </row>
    <row r="513" spans="1:40" x14ac:dyDescent="0.25">
      <c r="A513" s="16"/>
      <c r="B513" s="16" t="s">
        <v>86</v>
      </c>
      <c r="C513" s="7" t="s">
        <v>87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40" x14ac:dyDescent="0.25">
      <c r="A514" s="16"/>
      <c r="B514" s="16" t="s">
        <v>12</v>
      </c>
      <c r="C514" s="7" t="s">
        <v>88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40" x14ac:dyDescent="0.25">
      <c r="A515" s="128"/>
      <c r="B515" s="16" t="s">
        <v>13</v>
      </c>
      <c r="C515" s="7" t="s">
        <v>89</v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40" ht="15" customHeight="1" x14ac:dyDescent="0.25">
      <c r="A516" s="128"/>
      <c r="B516" s="128" t="s">
        <v>14</v>
      </c>
      <c r="C516" s="137" t="s">
        <v>90</v>
      </c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27"/>
      <c r="AN516" s="15">
        <f ca="1">AN516:AO516</f>
        <v>0</v>
      </c>
    </row>
    <row r="517" spans="1:40" x14ac:dyDescent="0.25">
      <c r="B517" s="128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27"/>
    </row>
    <row r="518" spans="1:40" ht="12.75" customHeight="1" x14ac:dyDescent="0.25">
      <c r="M518" s="129" t="s">
        <v>19</v>
      </c>
      <c r="N518" s="129"/>
      <c r="O518" s="129"/>
      <c r="P518" s="129"/>
      <c r="Q518" s="129"/>
      <c r="R518" s="129"/>
      <c r="S518" s="11"/>
    </row>
    <row r="519" spans="1:40" x14ac:dyDescent="0.25">
      <c r="L519" s="12"/>
      <c r="M519" s="12"/>
      <c r="N519" s="12"/>
      <c r="O519" s="12"/>
      <c r="P519" s="13"/>
      <c r="R519" s="11"/>
      <c r="S519" s="11"/>
    </row>
    <row r="520" spans="1:40" x14ac:dyDescent="0.25">
      <c r="L520" s="9"/>
      <c r="R520" s="25"/>
      <c r="S520" s="25"/>
      <c r="T520" s="9"/>
      <c r="U520" s="9"/>
      <c r="V520" s="9"/>
      <c r="W520" s="9"/>
      <c r="X520" s="9"/>
      <c r="Y520" s="9"/>
      <c r="Z520" s="9"/>
    </row>
    <row r="521" spans="1:40" ht="15.75" x14ac:dyDescent="0.25">
      <c r="L521" s="25"/>
      <c r="M521" s="130" t="s">
        <v>97</v>
      </c>
      <c r="N521" s="130"/>
      <c r="O521" s="130"/>
      <c r="P521" s="130"/>
      <c r="Q521" s="130"/>
      <c r="R521" s="130"/>
      <c r="S521" s="25"/>
      <c r="T521" s="9"/>
      <c r="U521" s="9"/>
      <c r="V521" s="9"/>
      <c r="W521" s="9"/>
      <c r="X521" s="9"/>
      <c r="Y521" s="9"/>
      <c r="Z521" s="9"/>
    </row>
    <row r="522" spans="1:40" ht="15.75" x14ac:dyDescent="0.25">
      <c r="L522" s="25"/>
      <c r="M522" s="131" t="s">
        <v>98</v>
      </c>
      <c r="N522" s="131"/>
      <c r="O522" s="131"/>
      <c r="P522" s="131"/>
      <c r="Q522" s="131"/>
      <c r="R522" s="131"/>
      <c r="S522" s="25"/>
      <c r="T522" s="9"/>
      <c r="U522" s="9"/>
      <c r="V522" s="9"/>
      <c r="W522" s="9"/>
      <c r="X522" s="9"/>
      <c r="Y522" s="9"/>
      <c r="Z522" s="9"/>
    </row>
    <row r="524" spans="1:40" ht="12.75" customHeight="1" x14ac:dyDescent="0.25"/>
    <row r="525" spans="1:40" ht="12.75" customHeight="1" x14ac:dyDescent="0.25"/>
    <row r="526" spans="1:40" ht="12.75" customHeight="1" x14ac:dyDescent="0.25">
      <c r="A526" s="34" t="s">
        <v>41</v>
      </c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spans="1:40" ht="12" customHeight="1" x14ac:dyDescent="0.25">
      <c r="A527" s="35" t="s">
        <v>30</v>
      </c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</row>
    <row r="528" spans="1:40" ht="12" customHeight="1" x14ac:dyDescent="0.25">
      <c r="A528" s="35" t="s">
        <v>46</v>
      </c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</row>
    <row r="529" spans="1:29" ht="12" customHeight="1" x14ac:dyDescent="0.25">
      <c r="A529" s="36" t="s">
        <v>62</v>
      </c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</row>
    <row r="530" spans="1:29" ht="12" customHeight="1" x14ac:dyDescent="0.25">
      <c r="A530" s="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5">
      <c r="A531" s="37" t="s">
        <v>63</v>
      </c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 spans="1:29" ht="6" customHeight="1" x14ac:dyDescent="0.25"/>
    <row r="533" spans="1:29" ht="12.75" customHeight="1" x14ac:dyDescent="0.25">
      <c r="A533" s="38" t="s">
        <v>64</v>
      </c>
      <c r="B533" s="39"/>
      <c r="C533" s="39"/>
      <c r="D533" s="39"/>
      <c r="E533" s="39"/>
      <c r="F533" s="39"/>
      <c r="G533" s="39"/>
      <c r="H533" s="40"/>
      <c r="I533" s="38" t="s">
        <v>65</v>
      </c>
      <c r="J533" s="39"/>
      <c r="K533" s="39"/>
      <c r="L533" s="39"/>
      <c r="M533" s="39"/>
      <c r="N533" s="39"/>
      <c r="O533" s="39"/>
      <c r="P533" s="39"/>
      <c r="Q533" s="40"/>
      <c r="R533" s="38" t="s">
        <v>18</v>
      </c>
      <c r="S533" s="39"/>
      <c r="T533" s="39"/>
      <c r="U533" s="40"/>
      <c r="V533" s="41" t="s">
        <v>66</v>
      </c>
      <c r="W533" s="42"/>
      <c r="X533" s="42"/>
      <c r="Y533" s="42"/>
      <c r="Z533" s="42"/>
      <c r="AA533" s="42"/>
      <c r="AB533" s="42"/>
      <c r="AC533" s="43"/>
    </row>
    <row r="534" spans="1:29" ht="12.75" customHeight="1" x14ac:dyDescent="0.25">
      <c r="A534" s="47" t="s">
        <v>40</v>
      </c>
      <c r="B534" s="48"/>
      <c r="C534" s="48"/>
      <c r="D534" s="48"/>
      <c r="E534" s="48"/>
      <c r="F534" s="48"/>
      <c r="G534" s="48"/>
      <c r="H534" s="49"/>
      <c r="I534" s="47" t="s">
        <v>61</v>
      </c>
      <c r="J534" s="48"/>
      <c r="K534" s="48"/>
      <c r="L534" s="48"/>
      <c r="M534" s="48"/>
      <c r="N534" s="48"/>
      <c r="O534" s="48"/>
      <c r="P534" s="48"/>
      <c r="Q534" s="49"/>
      <c r="R534" s="58">
        <v>2025</v>
      </c>
      <c r="S534" s="59"/>
      <c r="T534" s="59"/>
      <c r="U534" s="60"/>
      <c r="V534" s="44"/>
      <c r="W534" s="45"/>
      <c r="X534" s="45"/>
      <c r="Y534" s="45"/>
      <c r="Z534" s="45"/>
      <c r="AA534" s="45"/>
      <c r="AB534" s="45"/>
      <c r="AC534" s="46"/>
    </row>
    <row r="535" spans="1:29" ht="12.75" customHeight="1" x14ac:dyDescent="0.25">
      <c r="A535" s="61" t="s">
        <v>67</v>
      </c>
      <c r="B535" s="62"/>
      <c r="C535" s="62"/>
      <c r="D535" s="62"/>
      <c r="E535" s="62"/>
      <c r="F535" s="62"/>
      <c r="G535" s="62"/>
      <c r="H535" s="63"/>
      <c r="I535" s="38" t="s">
        <v>68</v>
      </c>
      <c r="J535" s="39"/>
      <c r="K535" s="39"/>
      <c r="L535" s="39"/>
      <c r="M535" s="39"/>
      <c r="N535" s="39"/>
      <c r="O535" s="39"/>
      <c r="P535" s="39"/>
      <c r="Q535" s="40"/>
      <c r="R535" s="64" t="s">
        <v>47</v>
      </c>
      <c r="S535" s="39"/>
      <c r="T535" s="39"/>
      <c r="U535" s="40"/>
      <c r="V535" s="65"/>
      <c r="W535" s="66"/>
      <c r="X535" s="66"/>
      <c r="Y535" s="66"/>
      <c r="Z535" s="66"/>
      <c r="AA535" s="66"/>
      <c r="AB535" s="66"/>
      <c r="AC535" s="67"/>
    </row>
    <row r="536" spans="1:29" ht="12.75" customHeight="1" x14ac:dyDescent="0.25">
      <c r="A536" s="71" t="s">
        <v>61</v>
      </c>
      <c r="B536" s="72"/>
      <c r="C536" s="72"/>
      <c r="D536" s="72"/>
      <c r="E536" s="72"/>
      <c r="F536" s="72"/>
      <c r="G536" s="72"/>
      <c r="H536" s="73"/>
      <c r="I536" s="77" t="s">
        <v>60</v>
      </c>
      <c r="J536" s="78"/>
      <c r="K536" s="78"/>
      <c r="L536" s="78"/>
      <c r="M536" s="78"/>
      <c r="N536" s="78"/>
      <c r="O536" s="78"/>
      <c r="P536" s="78"/>
      <c r="Q536" s="79"/>
      <c r="R536" s="83" t="s">
        <v>92</v>
      </c>
      <c r="S536" s="84"/>
      <c r="T536" s="84"/>
      <c r="U536" s="85"/>
      <c r="V536" s="65"/>
      <c r="W536" s="66"/>
      <c r="X536" s="66"/>
      <c r="Y536" s="66"/>
      <c r="Z536" s="66"/>
      <c r="AA536" s="66"/>
      <c r="AB536" s="66"/>
      <c r="AC536" s="67"/>
    </row>
    <row r="537" spans="1:29" ht="6.75" customHeight="1" x14ac:dyDescent="0.25">
      <c r="A537" s="74"/>
      <c r="B537" s="75"/>
      <c r="C537" s="75"/>
      <c r="D537" s="75"/>
      <c r="E537" s="75"/>
      <c r="F537" s="75"/>
      <c r="G537" s="75"/>
      <c r="H537" s="76"/>
      <c r="I537" s="80"/>
      <c r="J537" s="81"/>
      <c r="K537" s="81"/>
      <c r="L537" s="81"/>
      <c r="M537" s="81"/>
      <c r="N537" s="81"/>
      <c r="O537" s="81"/>
      <c r="P537" s="81"/>
      <c r="Q537" s="82"/>
      <c r="R537" s="86"/>
      <c r="S537" s="87"/>
      <c r="T537" s="87"/>
      <c r="U537" s="88"/>
      <c r="V537" s="68"/>
      <c r="W537" s="69"/>
      <c r="X537" s="69"/>
      <c r="Y537" s="69"/>
      <c r="Z537" s="69"/>
      <c r="AA537" s="69"/>
      <c r="AB537" s="69"/>
      <c r="AC537" s="70"/>
    </row>
    <row r="538" spans="1:29" ht="10.5" customHeight="1" x14ac:dyDescent="0.25"/>
    <row r="539" spans="1:29" ht="12" customHeight="1" x14ac:dyDescent="0.25">
      <c r="A539" s="4" t="s">
        <v>31</v>
      </c>
    </row>
    <row r="540" spans="1:29" ht="12.75" customHeight="1" x14ac:dyDescent="0.25">
      <c r="L540" s="50" t="s">
        <v>15</v>
      </c>
      <c r="M540" s="50"/>
      <c r="N540" s="50"/>
      <c r="O540" s="51" t="s">
        <v>16</v>
      </c>
      <c r="P540" s="51"/>
      <c r="Q540" s="51"/>
      <c r="R540" s="50" t="s">
        <v>32</v>
      </c>
      <c r="S540" s="50"/>
      <c r="T540" s="50"/>
      <c r="U540" s="52"/>
      <c r="V540" s="51" t="s">
        <v>33</v>
      </c>
      <c r="W540" s="51"/>
      <c r="X540" s="51"/>
      <c r="Y540" s="51"/>
      <c r="Z540" s="51"/>
      <c r="AA540" s="51" t="s">
        <v>0</v>
      </c>
      <c r="AB540" s="51"/>
      <c r="AC540" s="51"/>
    </row>
    <row r="541" spans="1:29" ht="12.75" customHeight="1" x14ac:dyDescent="0.25">
      <c r="L541" s="50"/>
      <c r="M541" s="50"/>
      <c r="N541" s="50"/>
      <c r="O541" s="51"/>
      <c r="P541" s="51"/>
      <c r="Q541" s="51"/>
      <c r="R541" s="50"/>
      <c r="S541" s="50"/>
      <c r="T541" s="50"/>
      <c r="U541" s="52"/>
      <c r="V541" s="51"/>
      <c r="W541" s="51"/>
      <c r="X541" s="51"/>
      <c r="Y541" s="51"/>
      <c r="Z541" s="51"/>
      <c r="AA541" s="51"/>
      <c r="AB541" s="51"/>
      <c r="AC541" s="51"/>
    </row>
    <row r="542" spans="1:29" ht="20.25" customHeight="1" x14ac:dyDescent="0.3">
      <c r="A542" s="53" t="s">
        <v>69</v>
      </c>
      <c r="B542" s="54"/>
      <c r="C542" s="54"/>
      <c r="D542" s="54"/>
      <c r="E542" s="54"/>
      <c r="F542" s="54"/>
      <c r="G542" s="54"/>
      <c r="H542" s="54"/>
      <c r="I542" s="54"/>
      <c r="J542" s="54"/>
      <c r="K542" s="55"/>
      <c r="L542" s="56">
        <v>19</v>
      </c>
      <c r="M542" s="56"/>
      <c r="N542" s="56"/>
      <c r="O542" s="56">
        <v>3</v>
      </c>
      <c r="P542" s="56"/>
      <c r="Q542" s="56"/>
      <c r="R542" s="56">
        <v>0</v>
      </c>
      <c r="S542" s="56"/>
      <c r="T542" s="56"/>
      <c r="U542" s="57"/>
      <c r="V542" s="56">
        <v>0</v>
      </c>
      <c r="W542" s="56"/>
      <c r="X542" s="56"/>
      <c r="Y542" s="56"/>
      <c r="Z542" s="56"/>
      <c r="AA542" s="89">
        <f>V542+R542+O542+L542</f>
        <v>22</v>
      </c>
      <c r="AB542" s="89"/>
      <c r="AC542" s="89"/>
    </row>
    <row r="543" spans="1:29" ht="20.25" customHeight="1" x14ac:dyDescent="0.3">
      <c r="A543" s="53" t="s">
        <v>34</v>
      </c>
      <c r="B543" s="54"/>
      <c r="C543" s="54"/>
      <c r="D543" s="54"/>
      <c r="E543" s="54"/>
      <c r="F543" s="54"/>
      <c r="G543" s="54"/>
      <c r="H543" s="54"/>
      <c r="I543" s="54"/>
      <c r="J543" s="54"/>
      <c r="K543" s="55"/>
      <c r="L543" s="56">
        <v>8</v>
      </c>
      <c r="M543" s="56"/>
      <c r="N543" s="56"/>
      <c r="O543" s="56">
        <v>0</v>
      </c>
      <c r="P543" s="56"/>
      <c r="Q543" s="56"/>
      <c r="R543" s="56">
        <v>0</v>
      </c>
      <c r="S543" s="56"/>
      <c r="T543" s="56"/>
      <c r="U543" s="57"/>
      <c r="V543" s="56">
        <v>2</v>
      </c>
      <c r="W543" s="56"/>
      <c r="X543" s="56"/>
      <c r="Y543" s="56"/>
      <c r="Z543" s="56"/>
      <c r="AA543" s="89">
        <f>V543+R543+O543+L543</f>
        <v>10</v>
      </c>
      <c r="AB543" s="89"/>
      <c r="AC543" s="89"/>
    </row>
    <row r="544" spans="1:29" ht="20.25" customHeight="1" x14ac:dyDescent="0.3">
      <c r="A544" s="53" t="s">
        <v>70</v>
      </c>
      <c r="B544" s="54"/>
      <c r="C544" s="54"/>
      <c r="D544" s="54"/>
      <c r="E544" s="54"/>
      <c r="F544" s="54"/>
      <c r="G544" s="54"/>
      <c r="H544" s="54"/>
      <c r="I544" s="54"/>
      <c r="J544" s="54"/>
      <c r="K544" s="55"/>
      <c r="L544" s="56">
        <v>0</v>
      </c>
      <c r="M544" s="56"/>
      <c r="N544" s="56"/>
      <c r="O544" s="56">
        <v>0</v>
      </c>
      <c r="P544" s="56"/>
      <c r="Q544" s="56"/>
      <c r="R544" s="56">
        <v>0</v>
      </c>
      <c r="S544" s="56"/>
      <c r="T544" s="56"/>
      <c r="U544" s="57"/>
      <c r="V544" s="56">
        <v>0</v>
      </c>
      <c r="W544" s="56"/>
      <c r="X544" s="56"/>
      <c r="Y544" s="56"/>
      <c r="Z544" s="56"/>
      <c r="AA544" s="89">
        <f>V544+R544+O544+L544</f>
        <v>0</v>
      </c>
      <c r="AB544" s="89"/>
      <c r="AC544" s="89"/>
    </row>
    <row r="545" spans="1:29" ht="21" customHeight="1" x14ac:dyDescent="0.3">
      <c r="A545" s="53" t="s">
        <v>35</v>
      </c>
      <c r="B545" s="54"/>
      <c r="C545" s="54"/>
      <c r="D545" s="54"/>
      <c r="E545" s="54"/>
      <c r="F545" s="54"/>
      <c r="G545" s="54"/>
      <c r="H545" s="54"/>
      <c r="I545" s="54"/>
      <c r="J545" s="54"/>
      <c r="K545" s="55"/>
      <c r="L545" s="56">
        <v>1</v>
      </c>
      <c r="M545" s="56"/>
      <c r="N545" s="56"/>
      <c r="O545" s="56">
        <v>0</v>
      </c>
      <c r="P545" s="56"/>
      <c r="Q545" s="56"/>
      <c r="R545" s="56">
        <v>0</v>
      </c>
      <c r="S545" s="56"/>
      <c r="T545" s="56"/>
      <c r="U545" s="57"/>
      <c r="V545" s="56">
        <v>0</v>
      </c>
      <c r="W545" s="56"/>
      <c r="X545" s="56"/>
      <c r="Y545" s="56"/>
      <c r="Z545" s="56"/>
      <c r="AA545" s="89">
        <f>V545+R545+O545+L545</f>
        <v>1</v>
      </c>
      <c r="AB545" s="89"/>
      <c r="AC545" s="89"/>
    </row>
    <row r="546" spans="1:29" ht="4.5" customHeight="1" x14ac:dyDescent="0.25"/>
    <row r="547" spans="1:29" ht="12.75" customHeight="1" x14ac:dyDescent="0.25">
      <c r="A547" s="95" t="s">
        <v>36</v>
      </c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</row>
    <row r="548" spans="1:29" ht="12.75" customHeight="1" x14ac:dyDescent="0.25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</row>
    <row r="549" spans="1:29" ht="0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7.25" customHeight="1" x14ac:dyDescent="0.25">
      <c r="J550" s="96" t="s">
        <v>9</v>
      </c>
      <c r="K550" s="97"/>
      <c r="L550" s="98" t="s">
        <v>10</v>
      </c>
      <c r="M550" s="94"/>
      <c r="N550" s="94" t="s">
        <v>3</v>
      </c>
      <c r="O550" s="94"/>
      <c r="P550" s="94" t="s">
        <v>4</v>
      </c>
      <c r="Q550" s="94"/>
      <c r="R550" s="94" t="s">
        <v>5</v>
      </c>
      <c r="S550" s="94"/>
      <c r="T550" s="94" t="s">
        <v>6</v>
      </c>
      <c r="U550" s="94"/>
      <c r="V550" s="94" t="s">
        <v>7</v>
      </c>
      <c r="W550" s="94"/>
      <c r="X550" s="94" t="s">
        <v>11</v>
      </c>
      <c r="Y550" s="94"/>
      <c r="Z550" s="99" t="s">
        <v>49</v>
      </c>
      <c r="AA550" s="99"/>
      <c r="AB550" s="94" t="s">
        <v>0</v>
      </c>
      <c r="AC550" s="94"/>
    </row>
    <row r="551" spans="1:29" ht="17.25" customHeight="1" x14ac:dyDescent="0.25">
      <c r="J551" s="2" t="s">
        <v>1</v>
      </c>
      <c r="K551" s="2" t="s">
        <v>2</v>
      </c>
      <c r="L551" s="2" t="s">
        <v>1</v>
      </c>
      <c r="M551" s="2" t="s">
        <v>2</v>
      </c>
      <c r="N551" s="2" t="s">
        <v>1</v>
      </c>
      <c r="O551" s="2" t="s">
        <v>2</v>
      </c>
      <c r="P551" s="2" t="s">
        <v>1</v>
      </c>
      <c r="Q551" s="2" t="s">
        <v>2</v>
      </c>
      <c r="R551" s="2" t="s">
        <v>1</v>
      </c>
      <c r="S551" s="2" t="s">
        <v>2</v>
      </c>
      <c r="T551" s="2" t="s">
        <v>1</v>
      </c>
      <c r="U551" s="2" t="s">
        <v>2</v>
      </c>
      <c r="V551" s="2" t="s">
        <v>1</v>
      </c>
      <c r="W551" s="2" t="s">
        <v>2</v>
      </c>
      <c r="X551" s="2" t="s">
        <v>1</v>
      </c>
      <c r="Y551" s="2" t="s">
        <v>2</v>
      </c>
      <c r="Z551" s="17" t="s">
        <v>1</v>
      </c>
      <c r="AA551" s="17" t="s">
        <v>2</v>
      </c>
      <c r="AB551" s="94"/>
      <c r="AC551" s="94"/>
    </row>
    <row r="552" spans="1:29" ht="18.75" customHeight="1" x14ac:dyDescent="0.25">
      <c r="A552" s="90" t="s">
        <v>71</v>
      </c>
      <c r="B552" s="91"/>
      <c r="C552" s="91"/>
      <c r="D552" s="91"/>
      <c r="E552" s="91"/>
      <c r="F552" s="91"/>
      <c r="G552" s="91"/>
      <c r="H552" s="91"/>
      <c r="I552" s="92"/>
      <c r="J552" s="14">
        <v>0</v>
      </c>
      <c r="K552" s="14">
        <v>0</v>
      </c>
      <c r="L552" s="14">
        <v>0</v>
      </c>
      <c r="M552" s="14">
        <v>0</v>
      </c>
      <c r="N552" s="14">
        <v>1</v>
      </c>
      <c r="O552" s="14">
        <v>2</v>
      </c>
      <c r="P552" s="14">
        <v>2</v>
      </c>
      <c r="Q552" s="14">
        <v>6</v>
      </c>
      <c r="R552" s="14">
        <v>0</v>
      </c>
      <c r="S552" s="14">
        <v>0</v>
      </c>
      <c r="T552" s="14">
        <v>2</v>
      </c>
      <c r="U552" s="14">
        <v>1</v>
      </c>
      <c r="V552" s="14">
        <v>4</v>
      </c>
      <c r="W552" s="14">
        <v>1</v>
      </c>
      <c r="X552" s="14">
        <v>3</v>
      </c>
      <c r="Y552" s="14">
        <v>0</v>
      </c>
      <c r="Z552" s="18">
        <f>X552+V552+T552+R552+P552+N552+L552+J552</f>
        <v>12</v>
      </c>
      <c r="AA552" s="18">
        <f>Y552+W552+U552+S552+Q552+O552+M552+K552</f>
        <v>10</v>
      </c>
      <c r="AB552" s="93">
        <f t="shared" ref="AB552:AB557" si="22">AA552+Z552</f>
        <v>22</v>
      </c>
      <c r="AC552" s="93"/>
    </row>
    <row r="553" spans="1:29" ht="18.75" customHeight="1" x14ac:dyDescent="0.25">
      <c r="A553" s="53" t="s">
        <v>37</v>
      </c>
      <c r="B553" s="54"/>
      <c r="C553" s="54"/>
      <c r="D553" s="54"/>
      <c r="E553" s="54"/>
      <c r="F553" s="54"/>
      <c r="G553" s="54"/>
      <c r="H553" s="54"/>
      <c r="I553" s="55"/>
      <c r="J553" s="29">
        <v>0</v>
      </c>
      <c r="K553" s="29">
        <v>0</v>
      </c>
      <c r="L553" s="29">
        <v>0</v>
      </c>
      <c r="M553" s="29">
        <v>0</v>
      </c>
      <c r="N553" s="29">
        <v>3</v>
      </c>
      <c r="O553" s="29">
        <v>1</v>
      </c>
      <c r="P553" s="29">
        <v>2</v>
      </c>
      <c r="Q553" s="29">
        <v>1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1</v>
      </c>
      <c r="Y553" s="29">
        <v>0</v>
      </c>
      <c r="Z553" s="18">
        <f t="shared" ref="Z553:AA557" si="23">X553+V553+T553+R553+P553+N553+L553+J553</f>
        <v>6</v>
      </c>
      <c r="AA553" s="18">
        <f t="shared" si="23"/>
        <v>2</v>
      </c>
      <c r="AB553" s="93">
        <f t="shared" si="22"/>
        <v>8</v>
      </c>
      <c r="AC553" s="93"/>
    </row>
    <row r="554" spans="1:29" ht="24" customHeight="1" x14ac:dyDescent="0.25">
      <c r="A554" s="90" t="s">
        <v>72</v>
      </c>
      <c r="B554" s="91"/>
      <c r="C554" s="91"/>
      <c r="D554" s="91"/>
      <c r="E554" s="91"/>
      <c r="F554" s="91"/>
      <c r="G554" s="91"/>
      <c r="H554" s="91"/>
      <c r="I554" s="92"/>
      <c r="J554" s="29">
        <v>0</v>
      </c>
      <c r="K554" s="29">
        <v>0</v>
      </c>
      <c r="L554" s="2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</v>
      </c>
      <c r="Y554" s="29">
        <v>0</v>
      </c>
      <c r="Z554" s="18">
        <f t="shared" si="23"/>
        <v>0</v>
      </c>
      <c r="AA554" s="18">
        <f t="shared" si="23"/>
        <v>0</v>
      </c>
      <c r="AB554" s="93">
        <f t="shared" si="22"/>
        <v>0</v>
      </c>
      <c r="AC554" s="93"/>
    </row>
    <row r="555" spans="1:29" ht="18.75" customHeight="1" x14ac:dyDescent="0.25">
      <c r="A555" s="90" t="s">
        <v>38</v>
      </c>
      <c r="B555" s="91"/>
      <c r="C555" s="91"/>
      <c r="D555" s="91"/>
      <c r="E555" s="91"/>
      <c r="F555" s="91"/>
      <c r="G555" s="91"/>
      <c r="H555" s="91"/>
      <c r="I555" s="92"/>
      <c r="J555" s="29">
        <v>0</v>
      </c>
      <c r="K555" s="29">
        <v>0</v>
      </c>
      <c r="L555" s="29">
        <v>0</v>
      </c>
      <c r="M555" s="29">
        <v>0</v>
      </c>
      <c r="N555" s="29">
        <v>0</v>
      </c>
      <c r="O555" s="29">
        <v>0</v>
      </c>
      <c r="P555" s="29">
        <v>0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1</v>
      </c>
      <c r="X555" s="29">
        <v>0</v>
      </c>
      <c r="Y555" s="29">
        <v>0</v>
      </c>
      <c r="Z555" s="18">
        <f t="shared" si="23"/>
        <v>0</v>
      </c>
      <c r="AA555" s="18">
        <f t="shared" si="23"/>
        <v>1</v>
      </c>
      <c r="AB555" s="93">
        <f t="shared" si="22"/>
        <v>1</v>
      </c>
      <c r="AC555" s="93"/>
    </row>
    <row r="556" spans="1:29" ht="18.75" customHeight="1" x14ac:dyDescent="0.25">
      <c r="A556" s="90" t="s">
        <v>39</v>
      </c>
      <c r="B556" s="91"/>
      <c r="C556" s="91"/>
      <c r="D556" s="91"/>
      <c r="E556" s="91"/>
      <c r="F556" s="91"/>
      <c r="G556" s="91"/>
      <c r="H556" s="91"/>
      <c r="I556" s="92"/>
      <c r="J556" s="29">
        <v>0</v>
      </c>
      <c r="K556" s="29">
        <v>0</v>
      </c>
      <c r="L556" s="29">
        <v>0</v>
      </c>
      <c r="M556" s="29">
        <v>0</v>
      </c>
      <c r="N556" s="29">
        <v>0</v>
      </c>
      <c r="O556" s="29">
        <v>0</v>
      </c>
      <c r="P556" s="29">
        <v>0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0</v>
      </c>
      <c r="Z556" s="18">
        <f t="shared" si="23"/>
        <v>0</v>
      </c>
      <c r="AA556" s="18">
        <f t="shared" si="23"/>
        <v>0</v>
      </c>
      <c r="AB556" s="93">
        <f t="shared" si="22"/>
        <v>0</v>
      </c>
      <c r="AC556" s="93"/>
    </row>
    <row r="557" spans="1:29" ht="18.75" customHeight="1" x14ac:dyDescent="0.25">
      <c r="A557" s="90" t="s">
        <v>17</v>
      </c>
      <c r="B557" s="91"/>
      <c r="C557" s="91"/>
      <c r="D557" s="91"/>
      <c r="E557" s="91"/>
      <c r="F557" s="91"/>
      <c r="G557" s="91"/>
      <c r="H557" s="91"/>
      <c r="I557" s="92"/>
      <c r="J557" s="29">
        <v>0</v>
      </c>
      <c r="K557" s="29">
        <v>0</v>
      </c>
      <c r="L557" s="29">
        <v>0</v>
      </c>
      <c r="M557" s="29">
        <v>0</v>
      </c>
      <c r="N557" s="29">
        <v>0</v>
      </c>
      <c r="O557" s="29">
        <v>0</v>
      </c>
      <c r="P557" s="29">
        <v>0</v>
      </c>
      <c r="Q557" s="29">
        <v>0</v>
      </c>
      <c r="R557" s="29">
        <v>1</v>
      </c>
      <c r="S557" s="29">
        <v>0</v>
      </c>
      <c r="T557" s="29">
        <v>0</v>
      </c>
      <c r="U557" s="29">
        <v>0</v>
      </c>
      <c r="V557" s="29">
        <v>1</v>
      </c>
      <c r="W557" s="29">
        <v>0</v>
      </c>
      <c r="X557" s="29">
        <v>0</v>
      </c>
      <c r="Y557" s="29">
        <v>0</v>
      </c>
      <c r="Z557" s="18">
        <f t="shared" si="23"/>
        <v>2</v>
      </c>
      <c r="AA557" s="18">
        <f t="shared" si="23"/>
        <v>0</v>
      </c>
      <c r="AB557" s="93">
        <f t="shared" si="22"/>
        <v>2</v>
      </c>
      <c r="AC557" s="93"/>
    </row>
    <row r="558" spans="1:29" ht="9" customHeight="1" x14ac:dyDescent="0.25"/>
    <row r="559" spans="1:29" ht="1.5" hidden="1" customHeight="1" x14ac:dyDescent="0.25"/>
    <row r="560" spans="1:29" ht="15.75" x14ac:dyDescent="0.25">
      <c r="A560" s="4" t="s">
        <v>73</v>
      </c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N560" s="4" t="s">
        <v>20</v>
      </c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40" ht="15" customHeight="1" x14ac:dyDescent="0.25">
      <c r="A561" s="123" t="s">
        <v>74</v>
      </c>
      <c r="B561" s="123"/>
      <c r="C561" s="123"/>
      <c r="D561" s="123"/>
      <c r="E561" s="50" t="s">
        <v>75</v>
      </c>
      <c r="F561" s="50"/>
      <c r="G561" s="50"/>
      <c r="H561" s="50"/>
      <c r="I561" s="50" t="s">
        <v>76</v>
      </c>
      <c r="J561" s="50"/>
      <c r="K561" s="50"/>
      <c r="L561" s="50"/>
      <c r="M561" s="9"/>
      <c r="N561" s="124" t="s">
        <v>77</v>
      </c>
      <c r="O561" s="125"/>
      <c r="P561" s="125"/>
      <c r="Q561" s="125"/>
      <c r="R561" s="125"/>
      <c r="S561" s="126"/>
      <c r="T561" s="50" t="s">
        <v>21</v>
      </c>
      <c r="U561" s="50"/>
      <c r="V561" s="50" t="s">
        <v>22</v>
      </c>
      <c r="W561" s="50"/>
      <c r="X561" s="50"/>
      <c r="Y561" s="50"/>
      <c r="Z561" s="50"/>
      <c r="AA561" s="50" t="s">
        <v>23</v>
      </c>
      <c r="AB561" s="50"/>
      <c r="AC561" s="50"/>
      <c r="AD561" s="10"/>
      <c r="AE561" s="3"/>
      <c r="AG561" s="9"/>
      <c r="AH561" s="9"/>
      <c r="AI561" s="9"/>
      <c r="AJ561" s="9"/>
    </row>
    <row r="562" spans="1:40" ht="51" customHeight="1" x14ac:dyDescent="0.25">
      <c r="A562" s="123"/>
      <c r="B562" s="123"/>
      <c r="C562" s="123"/>
      <c r="D562" s="123"/>
      <c r="E562" s="50"/>
      <c r="F562" s="50"/>
      <c r="G562" s="50"/>
      <c r="H562" s="50"/>
      <c r="I562" s="50"/>
      <c r="J562" s="50"/>
      <c r="K562" s="50"/>
      <c r="L562" s="50"/>
      <c r="M562" s="20"/>
      <c r="N562" s="101"/>
      <c r="O562" s="102"/>
      <c r="P562" s="102"/>
      <c r="Q562" s="102"/>
      <c r="R562" s="102"/>
      <c r="S562" s="127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10"/>
      <c r="AE562" s="3"/>
      <c r="AG562" s="21"/>
      <c r="AH562" s="21"/>
      <c r="AI562" s="21"/>
      <c r="AJ562" s="9"/>
    </row>
    <row r="563" spans="1:40" ht="48.75" customHeight="1" x14ac:dyDescent="0.25">
      <c r="A563" s="50" t="s">
        <v>78</v>
      </c>
      <c r="B563" s="50"/>
      <c r="C563" s="52" t="s">
        <v>79</v>
      </c>
      <c r="D563" s="116"/>
      <c r="E563" s="50" t="s">
        <v>78</v>
      </c>
      <c r="F563" s="50"/>
      <c r="G563" s="50" t="s">
        <v>79</v>
      </c>
      <c r="H563" s="50"/>
      <c r="I563" s="117" t="s">
        <v>80</v>
      </c>
      <c r="J563" s="117"/>
      <c r="K563" s="50" t="s">
        <v>81</v>
      </c>
      <c r="L563" s="50"/>
      <c r="M563" s="20"/>
      <c r="N563" s="118" t="s">
        <v>82</v>
      </c>
      <c r="O563" s="119"/>
      <c r="P563" s="120"/>
      <c r="Q563" s="121" t="s">
        <v>83</v>
      </c>
      <c r="R563" s="122"/>
      <c r="S563" s="122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10"/>
      <c r="AE563" s="22"/>
      <c r="AG563" s="21"/>
      <c r="AH563" s="21"/>
      <c r="AI563" s="21"/>
      <c r="AJ563" s="9"/>
    </row>
    <row r="564" spans="1:40" ht="21.75" customHeight="1" x14ac:dyDescent="0.25">
      <c r="A564" s="56">
        <v>0</v>
      </c>
      <c r="B564" s="56"/>
      <c r="C564" s="56">
        <v>233</v>
      </c>
      <c r="D564" s="56"/>
      <c r="E564" s="134">
        <v>0</v>
      </c>
      <c r="F564" s="134"/>
      <c r="G564" s="134">
        <v>22</v>
      </c>
      <c r="H564" s="134"/>
      <c r="I564" s="134">
        <v>0</v>
      </c>
      <c r="J564" s="134"/>
      <c r="K564" s="134">
        <v>0</v>
      </c>
      <c r="L564" s="134"/>
      <c r="M564" s="20"/>
      <c r="N564" s="100">
        <v>33</v>
      </c>
      <c r="O564" s="100"/>
      <c r="P564" s="100"/>
      <c r="Q564" s="101">
        <v>27</v>
      </c>
      <c r="R564" s="102"/>
      <c r="S564" s="102"/>
      <c r="T564" s="103">
        <v>1</v>
      </c>
      <c r="U564" s="103"/>
      <c r="V564" s="103">
        <v>1</v>
      </c>
      <c r="W564" s="103"/>
      <c r="X564" s="103"/>
      <c r="Y564" s="103"/>
      <c r="Z564" s="103"/>
      <c r="AA564" s="104">
        <v>1</v>
      </c>
      <c r="AB564" s="104"/>
      <c r="AC564" s="104"/>
      <c r="AD564" s="22"/>
      <c r="AE564" s="23"/>
      <c r="AG564" s="9"/>
      <c r="AH564" s="9"/>
      <c r="AI564" s="9"/>
      <c r="AJ564" s="9"/>
    </row>
    <row r="565" spans="1:40" ht="6" customHeight="1" x14ac:dyDescent="0.25">
      <c r="L565" s="24"/>
      <c r="AG565" s="9"/>
      <c r="AH565" s="9"/>
      <c r="AI565" s="9"/>
      <c r="AJ565" s="9"/>
    </row>
    <row r="566" spans="1:40" ht="15.75" x14ac:dyDescent="0.25">
      <c r="A566" s="4" t="s">
        <v>24</v>
      </c>
      <c r="B566" s="19"/>
      <c r="C566" s="19"/>
      <c r="D566" s="19"/>
      <c r="E566" s="19"/>
      <c r="M566" s="19"/>
      <c r="N566" s="4" t="s">
        <v>25</v>
      </c>
      <c r="O566" s="19"/>
      <c r="AG566" s="9"/>
      <c r="AH566" s="9"/>
      <c r="AI566" s="9"/>
      <c r="AJ566" s="9"/>
    </row>
    <row r="567" spans="1:40" ht="15" customHeight="1" x14ac:dyDescent="0.25">
      <c r="A567" s="50" t="s">
        <v>26</v>
      </c>
      <c r="B567" s="50"/>
      <c r="C567" s="50"/>
      <c r="D567" s="50"/>
      <c r="E567" s="50"/>
      <c r="F567" s="105" t="s">
        <v>27</v>
      </c>
      <c r="G567" s="106"/>
      <c r="H567" s="106"/>
      <c r="I567" s="106"/>
      <c r="J567" s="106"/>
      <c r="K567" s="106"/>
      <c r="L567" s="107"/>
      <c r="M567" s="24"/>
      <c r="N567" s="50" t="s">
        <v>84</v>
      </c>
      <c r="O567" s="50"/>
      <c r="P567" s="50"/>
      <c r="Q567" s="50"/>
      <c r="R567" s="105" t="s">
        <v>28</v>
      </c>
      <c r="S567" s="106"/>
      <c r="T567" s="106"/>
      <c r="U567" s="107"/>
      <c r="V567" s="50" t="s">
        <v>29</v>
      </c>
      <c r="W567" s="50"/>
      <c r="X567" s="50"/>
      <c r="Y567" s="50"/>
      <c r="Z567" s="50"/>
      <c r="AA567" s="106" t="s">
        <v>85</v>
      </c>
      <c r="AB567" s="106"/>
      <c r="AC567" s="107"/>
    </row>
    <row r="568" spans="1:40" x14ac:dyDescent="0.25">
      <c r="A568" s="50"/>
      <c r="B568" s="50"/>
      <c r="C568" s="50"/>
      <c r="D568" s="50"/>
      <c r="E568" s="50"/>
      <c r="F568" s="108"/>
      <c r="G568" s="109"/>
      <c r="H568" s="109"/>
      <c r="I568" s="109"/>
      <c r="J568" s="109"/>
      <c r="K568" s="109"/>
      <c r="L568" s="110"/>
      <c r="M568" s="24"/>
      <c r="N568" s="50"/>
      <c r="O568" s="50"/>
      <c r="P568" s="50"/>
      <c r="Q568" s="50"/>
      <c r="R568" s="108"/>
      <c r="S568" s="109"/>
      <c r="T568" s="109"/>
      <c r="U568" s="110"/>
      <c r="V568" s="50"/>
      <c r="W568" s="50"/>
      <c r="X568" s="50"/>
      <c r="Y568" s="50"/>
      <c r="Z568" s="50"/>
      <c r="AA568" s="109"/>
      <c r="AB568" s="109"/>
      <c r="AC568" s="110"/>
    </row>
    <row r="569" spans="1:40" x14ac:dyDescent="0.25">
      <c r="A569" s="50"/>
      <c r="B569" s="50"/>
      <c r="C569" s="50"/>
      <c r="D569" s="50"/>
      <c r="E569" s="50"/>
      <c r="F569" s="111"/>
      <c r="G569" s="112"/>
      <c r="H569" s="112"/>
      <c r="I569" s="112"/>
      <c r="J569" s="112"/>
      <c r="K569" s="112"/>
      <c r="L569" s="113"/>
      <c r="M569" s="24"/>
      <c r="N569" s="50"/>
      <c r="O569" s="50"/>
      <c r="P569" s="50"/>
      <c r="Q569" s="50"/>
      <c r="R569" s="111"/>
      <c r="S569" s="112"/>
      <c r="T569" s="112"/>
      <c r="U569" s="113"/>
      <c r="V569" s="50"/>
      <c r="W569" s="50"/>
      <c r="X569" s="50"/>
      <c r="Y569" s="50"/>
      <c r="Z569" s="50"/>
      <c r="AA569" s="112"/>
      <c r="AB569" s="112"/>
      <c r="AC569" s="113"/>
    </row>
    <row r="570" spans="1:40" ht="21.75" customHeight="1" x14ac:dyDescent="0.25">
      <c r="A570" s="50">
        <v>9</v>
      </c>
      <c r="B570" s="50"/>
      <c r="C570" s="50"/>
      <c r="D570" s="50"/>
      <c r="E570" s="50"/>
      <c r="F570" s="111">
        <v>0</v>
      </c>
      <c r="G570" s="112"/>
      <c r="H570" s="112"/>
      <c r="I570" s="112"/>
      <c r="J570" s="112"/>
      <c r="K570" s="112"/>
      <c r="L570" s="113"/>
      <c r="M570" s="24"/>
      <c r="N570" s="50">
        <v>7</v>
      </c>
      <c r="O570" s="50"/>
      <c r="P570" s="50"/>
      <c r="Q570" s="50"/>
      <c r="R570" s="111">
        <v>20</v>
      </c>
      <c r="S570" s="112"/>
      <c r="T570" s="112"/>
      <c r="U570" s="113"/>
      <c r="V570" s="50">
        <v>83</v>
      </c>
      <c r="W570" s="50"/>
      <c r="X570" s="50"/>
      <c r="Y570" s="50"/>
      <c r="Z570" s="50"/>
      <c r="AA570" s="112">
        <v>0</v>
      </c>
      <c r="AB570" s="112"/>
      <c r="AC570" s="113"/>
    </row>
    <row r="571" spans="1:40" x14ac:dyDescent="0.25">
      <c r="A571" s="16"/>
      <c r="B571" s="16" t="s">
        <v>86</v>
      </c>
      <c r="C571" s="7" t="s">
        <v>87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40" x14ac:dyDescent="0.25">
      <c r="A572" s="16"/>
      <c r="B572" s="16" t="s">
        <v>12</v>
      </c>
      <c r="C572" s="7" t="s">
        <v>88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40" x14ac:dyDescent="0.25">
      <c r="A573" s="128"/>
      <c r="B573" s="16" t="s">
        <v>13</v>
      </c>
      <c r="C573" s="7" t="s">
        <v>89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40" ht="15" customHeight="1" x14ac:dyDescent="0.25">
      <c r="A574" s="128"/>
      <c r="B574" s="128" t="s">
        <v>14</v>
      </c>
      <c r="C574" s="137" t="s">
        <v>90</v>
      </c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27"/>
      <c r="AN574" s="15">
        <f ca="1">AN574:AO574</f>
        <v>0</v>
      </c>
    </row>
    <row r="575" spans="1:40" x14ac:dyDescent="0.25">
      <c r="B575" s="128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27"/>
    </row>
    <row r="576" spans="1:40" ht="12.75" customHeight="1" x14ac:dyDescent="0.25">
      <c r="M576" s="129" t="s">
        <v>19</v>
      </c>
      <c r="N576" s="129"/>
      <c r="O576" s="129"/>
      <c r="P576" s="129"/>
      <c r="Q576" s="129"/>
      <c r="R576" s="129"/>
      <c r="S576" s="11"/>
    </row>
    <row r="577" spans="1:29" x14ac:dyDescent="0.25">
      <c r="L577" s="12"/>
      <c r="M577" s="12"/>
      <c r="N577" s="12"/>
      <c r="O577" s="12"/>
      <c r="P577" s="13"/>
      <c r="R577" s="11"/>
      <c r="S577" s="11"/>
    </row>
    <row r="578" spans="1:29" x14ac:dyDescent="0.25">
      <c r="L578" s="9"/>
      <c r="R578" s="25"/>
      <c r="S578" s="25"/>
      <c r="T578" s="9"/>
      <c r="U578" s="9"/>
      <c r="V578" s="9"/>
      <c r="W578" s="9"/>
      <c r="X578" s="9"/>
      <c r="Y578" s="9"/>
      <c r="Z578" s="9"/>
    </row>
    <row r="579" spans="1:29" ht="15.75" x14ac:dyDescent="0.25">
      <c r="L579" s="25"/>
      <c r="M579" s="130" t="s">
        <v>97</v>
      </c>
      <c r="N579" s="130"/>
      <c r="O579" s="130"/>
      <c r="P579" s="130"/>
      <c r="Q579" s="130"/>
      <c r="R579" s="130"/>
      <c r="S579" s="25"/>
      <c r="T579" s="9"/>
      <c r="U579" s="9"/>
      <c r="V579" s="9"/>
      <c r="W579" s="9"/>
      <c r="X579" s="9"/>
      <c r="Y579" s="9"/>
      <c r="Z579" s="9"/>
    </row>
    <row r="580" spans="1:29" ht="15.75" x14ac:dyDescent="0.25">
      <c r="L580" s="25"/>
      <c r="M580" s="131" t="s">
        <v>98</v>
      </c>
      <c r="N580" s="131"/>
      <c r="O580" s="131"/>
      <c r="P580" s="131"/>
      <c r="Q580" s="131"/>
      <c r="R580" s="131"/>
      <c r="S580" s="25"/>
      <c r="T580" s="9"/>
      <c r="U580" s="9"/>
      <c r="V580" s="9"/>
      <c r="W580" s="9"/>
      <c r="X580" s="9"/>
      <c r="Y580" s="9"/>
      <c r="Z580" s="9"/>
    </row>
    <row r="582" spans="1:29" ht="12.75" customHeight="1" x14ac:dyDescent="0.25"/>
    <row r="583" spans="1:29" ht="12.75" customHeight="1" x14ac:dyDescent="0.25"/>
    <row r="584" spans="1:29" ht="12.75" customHeight="1" x14ac:dyDescent="0.25">
      <c r="A584" s="34" t="s">
        <v>41</v>
      </c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spans="1:29" ht="12" customHeight="1" x14ac:dyDescent="0.25">
      <c r="A585" s="35" t="s">
        <v>30</v>
      </c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 spans="1:29" ht="12" customHeight="1" x14ac:dyDescent="0.25">
      <c r="A586" s="35" t="s">
        <v>46</v>
      </c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 spans="1:29" ht="12" customHeight="1" x14ac:dyDescent="0.25">
      <c r="A587" s="36" t="s">
        <v>62</v>
      </c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</row>
    <row r="588" spans="1:29" ht="12" customHeight="1" x14ac:dyDescent="0.25">
      <c r="A588" s="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5">
      <c r="A589" s="37" t="s">
        <v>63</v>
      </c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 spans="1:29" ht="6" customHeight="1" x14ac:dyDescent="0.25"/>
    <row r="591" spans="1:29" ht="12.75" customHeight="1" x14ac:dyDescent="0.25">
      <c r="A591" s="38" t="s">
        <v>64</v>
      </c>
      <c r="B591" s="39"/>
      <c r="C591" s="39"/>
      <c r="D591" s="39"/>
      <c r="E591" s="39"/>
      <c r="F591" s="39"/>
      <c r="G591" s="39"/>
      <c r="H591" s="40"/>
      <c r="I591" s="38" t="s">
        <v>65</v>
      </c>
      <c r="J591" s="39"/>
      <c r="K591" s="39"/>
      <c r="L591" s="39"/>
      <c r="M591" s="39"/>
      <c r="N591" s="39"/>
      <c r="O591" s="39"/>
      <c r="P591" s="39"/>
      <c r="Q591" s="40"/>
      <c r="R591" s="38" t="s">
        <v>18</v>
      </c>
      <c r="S591" s="39"/>
      <c r="T591" s="39"/>
      <c r="U591" s="40"/>
      <c r="V591" s="41" t="s">
        <v>66</v>
      </c>
      <c r="W591" s="42"/>
      <c r="X591" s="42"/>
      <c r="Y591" s="42"/>
      <c r="Z591" s="42"/>
      <c r="AA591" s="42"/>
      <c r="AB591" s="42"/>
      <c r="AC591" s="43"/>
    </row>
    <row r="592" spans="1:29" ht="12.75" customHeight="1" x14ac:dyDescent="0.25">
      <c r="A592" s="47" t="s">
        <v>40</v>
      </c>
      <c r="B592" s="48"/>
      <c r="C592" s="48"/>
      <c r="D592" s="48"/>
      <c r="E592" s="48"/>
      <c r="F592" s="48"/>
      <c r="G592" s="48"/>
      <c r="H592" s="49"/>
      <c r="I592" s="47" t="s">
        <v>61</v>
      </c>
      <c r="J592" s="48"/>
      <c r="K592" s="48"/>
      <c r="L592" s="48"/>
      <c r="M592" s="48"/>
      <c r="N592" s="48"/>
      <c r="O592" s="48"/>
      <c r="P592" s="48"/>
      <c r="Q592" s="49"/>
      <c r="R592" s="58">
        <v>2025</v>
      </c>
      <c r="S592" s="59"/>
      <c r="T592" s="59"/>
      <c r="U592" s="60"/>
      <c r="V592" s="44"/>
      <c r="W592" s="45"/>
      <c r="X592" s="45"/>
      <c r="Y592" s="45"/>
      <c r="Z592" s="45"/>
      <c r="AA592" s="45"/>
      <c r="AB592" s="45"/>
      <c r="AC592" s="46"/>
    </row>
    <row r="593" spans="1:29" ht="12.75" customHeight="1" x14ac:dyDescent="0.25">
      <c r="A593" s="61" t="s">
        <v>67</v>
      </c>
      <c r="B593" s="62"/>
      <c r="C593" s="62"/>
      <c r="D593" s="62"/>
      <c r="E593" s="62"/>
      <c r="F593" s="62"/>
      <c r="G593" s="62"/>
      <c r="H593" s="63"/>
      <c r="I593" s="38" t="s">
        <v>68</v>
      </c>
      <c r="J593" s="39"/>
      <c r="K593" s="39"/>
      <c r="L593" s="39"/>
      <c r="M593" s="39"/>
      <c r="N593" s="39"/>
      <c r="O593" s="39"/>
      <c r="P593" s="39"/>
      <c r="Q593" s="40"/>
      <c r="R593" s="64" t="s">
        <v>47</v>
      </c>
      <c r="S593" s="39"/>
      <c r="T593" s="39"/>
      <c r="U593" s="40"/>
      <c r="V593" s="65"/>
      <c r="W593" s="66"/>
      <c r="X593" s="66"/>
      <c r="Y593" s="66"/>
      <c r="Z593" s="66"/>
      <c r="AA593" s="66"/>
      <c r="AB593" s="66"/>
      <c r="AC593" s="67"/>
    </row>
    <row r="594" spans="1:29" ht="12.75" customHeight="1" x14ac:dyDescent="0.25">
      <c r="A594" s="71" t="s">
        <v>61</v>
      </c>
      <c r="B594" s="72"/>
      <c r="C594" s="72"/>
      <c r="D594" s="72"/>
      <c r="E594" s="72"/>
      <c r="F594" s="72"/>
      <c r="G594" s="72"/>
      <c r="H594" s="73"/>
      <c r="I594" s="77" t="s">
        <v>60</v>
      </c>
      <c r="J594" s="78"/>
      <c r="K594" s="78"/>
      <c r="L594" s="78"/>
      <c r="M594" s="78"/>
      <c r="N594" s="78"/>
      <c r="O594" s="78"/>
      <c r="P594" s="78"/>
      <c r="Q594" s="79"/>
      <c r="R594" s="83" t="s">
        <v>56</v>
      </c>
      <c r="S594" s="84"/>
      <c r="T594" s="84"/>
      <c r="U594" s="85"/>
      <c r="V594" s="65"/>
      <c r="W594" s="66"/>
      <c r="X594" s="66"/>
      <c r="Y594" s="66"/>
      <c r="Z594" s="66"/>
      <c r="AA594" s="66"/>
      <c r="AB594" s="66"/>
      <c r="AC594" s="67"/>
    </row>
    <row r="595" spans="1:29" ht="6.75" customHeight="1" x14ac:dyDescent="0.25">
      <c r="A595" s="74"/>
      <c r="B595" s="75"/>
      <c r="C595" s="75"/>
      <c r="D595" s="75"/>
      <c r="E595" s="75"/>
      <c r="F595" s="75"/>
      <c r="G595" s="75"/>
      <c r="H595" s="76"/>
      <c r="I595" s="80"/>
      <c r="J595" s="81"/>
      <c r="K595" s="81"/>
      <c r="L595" s="81"/>
      <c r="M595" s="81"/>
      <c r="N595" s="81"/>
      <c r="O595" s="81"/>
      <c r="P595" s="81"/>
      <c r="Q595" s="82"/>
      <c r="R595" s="86"/>
      <c r="S595" s="87"/>
      <c r="T595" s="87"/>
      <c r="U595" s="88"/>
      <c r="V595" s="68"/>
      <c r="W595" s="69"/>
      <c r="X595" s="69"/>
      <c r="Y595" s="69"/>
      <c r="Z595" s="69"/>
      <c r="AA595" s="69"/>
      <c r="AB595" s="69"/>
      <c r="AC595" s="70"/>
    </row>
    <row r="596" spans="1:29" ht="10.5" customHeight="1" x14ac:dyDescent="0.25"/>
    <row r="597" spans="1:29" ht="12" customHeight="1" x14ac:dyDescent="0.25">
      <c r="A597" s="4" t="s">
        <v>31</v>
      </c>
    </row>
    <row r="598" spans="1:29" ht="12.75" customHeight="1" x14ac:dyDescent="0.25">
      <c r="L598" s="50" t="s">
        <v>15</v>
      </c>
      <c r="M598" s="50"/>
      <c r="N598" s="50"/>
      <c r="O598" s="51" t="s">
        <v>16</v>
      </c>
      <c r="P598" s="51"/>
      <c r="Q598" s="51"/>
      <c r="R598" s="50" t="s">
        <v>32</v>
      </c>
      <c r="S598" s="50"/>
      <c r="T598" s="50"/>
      <c r="U598" s="52"/>
      <c r="V598" s="51" t="s">
        <v>33</v>
      </c>
      <c r="W598" s="51"/>
      <c r="X598" s="51"/>
      <c r="Y598" s="51"/>
      <c r="Z598" s="51"/>
      <c r="AA598" s="51" t="s">
        <v>0</v>
      </c>
      <c r="AB598" s="51"/>
      <c r="AC598" s="51"/>
    </row>
    <row r="599" spans="1:29" ht="12.75" customHeight="1" x14ac:dyDescent="0.25">
      <c r="L599" s="50"/>
      <c r="M599" s="50"/>
      <c r="N599" s="50"/>
      <c r="O599" s="51"/>
      <c r="P599" s="51"/>
      <c r="Q599" s="51"/>
      <c r="R599" s="50"/>
      <c r="S599" s="50"/>
      <c r="T599" s="50"/>
      <c r="U599" s="52"/>
      <c r="V599" s="51"/>
      <c r="W599" s="51"/>
      <c r="X599" s="51"/>
      <c r="Y599" s="51"/>
      <c r="Z599" s="51"/>
      <c r="AA599" s="51"/>
      <c r="AB599" s="51"/>
      <c r="AC599" s="51"/>
    </row>
    <row r="600" spans="1:29" ht="20.25" customHeight="1" x14ac:dyDescent="0.3">
      <c r="A600" s="53" t="s">
        <v>69</v>
      </c>
      <c r="B600" s="54"/>
      <c r="C600" s="54"/>
      <c r="D600" s="54"/>
      <c r="E600" s="54"/>
      <c r="F600" s="54"/>
      <c r="G600" s="54"/>
      <c r="H600" s="54"/>
      <c r="I600" s="54"/>
      <c r="J600" s="54"/>
      <c r="K600" s="55"/>
      <c r="L600" s="56">
        <v>19</v>
      </c>
      <c r="M600" s="56"/>
      <c r="N600" s="56"/>
      <c r="O600" s="56">
        <v>3</v>
      </c>
      <c r="P600" s="56"/>
      <c r="Q600" s="56"/>
      <c r="R600" s="56">
        <v>0</v>
      </c>
      <c r="S600" s="56"/>
      <c r="T600" s="56"/>
      <c r="U600" s="57"/>
      <c r="V600" s="56">
        <v>0</v>
      </c>
      <c r="W600" s="56"/>
      <c r="X600" s="56"/>
      <c r="Y600" s="56"/>
      <c r="Z600" s="56"/>
      <c r="AA600" s="89">
        <f>V600+R600+O600+L600</f>
        <v>22</v>
      </c>
      <c r="AB600" s="89"/>
      <c r="AC600" s="89"/>
    </row>
    <row r="601" spans="1:29" ht="20.25" customHeight="1" x14ac:dyDescent="0.3">
      <c r="A601" s="53" t="s">
        <v>34</v>
      </c>
      <c r="B601" s="54"/>
      <c r="C601" s="54"/>
      <c r="D601" s="54"/>
      <c r="E601" s="54"/>
      <c r="F601" s="54"/>
      <c r="G601" s="54"/>
      <c r="H601" s="54"/>
      <c r="I601" s="54"/>
      <c r="J601" s="54"/>
      <c r="K601" s="55"/>
      <c r="L601" s="56">
        <v>14</v>
      </c>
      <c r="M601" s="56"/>
      <c r="N601" s="56"/>
      <c r="O601" s="56">
        <v>0</v>
      </c>
      <c r="P601" s="56"/>
      <c r="Q601" s="56"/>
      <c r="R601" s="56">
        <v>0</v>
      </c>
      <c r="S601" s="56"/>
      <c r="T601" s="56"/>
      <c r="U601" s="57"/>
      <c r="V601" s="56">
        <v>1</v>
      </c>
      <c r="W601" s="56"/>
      <c r="X601" s="56"/>
      <c r="Y601" s="56"/>
      <c r="Z601" s="56"/>
      <c r="AA601" s="89">
        <f>V601+R601+O601+L601</f>
        <v>15</v>
      </c>
      <c r="AB601" s="89"/>
      <c r="AC601" s="89"/>
    </row>
    <row r="602" spans="1:29" ht="20.25" customHeight="1" x14ac:dyDescent="0.3">
      <c r="A602" s="53" t="s">
        <v>70</v>
      </c>
      <c r="B602" s="54"/>
      <c r="C602" s="54"/>
      <c r="D602" s="54"/>
      <c r="E602" s="54"/>
      <c r="F602" s="54"/>
      <c r="G602" s="54"/>
      <c r="H602" s="54"/>
      <c r="I602" s="54"/>
      <c r="J602" s="54"/>
      <c r="K602" s="55"/>
      <c r="L602" s="56">
        <v>0</v>
      </c>
      <c r="M602" s="56"/>
      <c r="N602" s="56"/>
      <c r="O602" s="56">
        <v>0</v>
      </c>
      <c r="P602" s="56"/>
      <c r="Q602" s="56"/>
      <c r="R602" s="56">
        <v>0</v>
      </c>
      <c r="S602" s="56"/>
      <c r="T602" s="56"/>
      <c r="U602" s="57"/>
      <c r="V602" s="56">
        <v>0</v>
      </c>
      <c r="W602" s="56"/>
      <c r="X602" s="56"/>
      <c r="Y602" s="56"/>
      <c r="Z602" s="56"/>
      <c r="AA602" s="89">
        <f>V602+R602+O602+L602</f>
        <v>0</v>
      </c>
      <c r="AB602" s="89"/>
      <c r="AC602" s="89"/>
    </row>
    <row r="603" spans="1:29" ht="21" customHeight="1" x14ac:dyDescent="0.3">
      <c r="A603" s="53" t="s">
        <v>35</v>
      </c>
      <c r="B603" s="54"/>
      <c r="C603" s="54"/>
      <c r="D603" s="54"/>
      <c r="E603" s="54"/>
      <c r="F603" s="54"/>
      <c r="G603" s="54"/>
      <c r="H603" s="54"/>
      <c r="I603" s="54"/>
      <c r="J603" s="54"/>
      <c r="K603" s="55"/>
      <c r="L603" s="56">
        <v>0</v>
      </c>
      <c r="M603" s="56"/>
      <c r="N603" s="56"/>
      <c r="O603" s="56">
        <v>0</v>
      </c>
      <c r="P603" s="56"/>
      <c r="Q603" s="56"/>
      <c r="R603" s="56">
        <v>0</v>
      </c>
      <c r="S603" s="56"/>
      <c r="T603" s="56"/>
      <c r="U603" s="57"/>
      <c r="V603" s="56">
        <v>0</v>
      </c>
      <c r="W603" s="56"/>
      <c r="X603" s="56"/>
      <c r="Y603" s="56"/>
      <c r="Z603" s="56"/>
      <c r="AA603" s="89">
        <f>V603+R603+O603+L603</f>
        <v>0</v>
      </c>
      <c r="AB603" s="89"/>
      <c r="AC603" s="89"/>
    </row>
    <row r="604" spans="1:29" ht="4.5" customHeight="1" x14ac:dyDescent="0.25"/>
    <row r="605" spans="1:29" ht="12.75" customHeight="1" x14ac:dyDescent="0.25">
      <c r="A605" s="95" t="s">
        <v>94</v>
      </c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</row>
    <row r="606" spans="1:29" ht="12.75" customHeight="1" x14ac:dyDescent="0.25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</row>
    <row r="607" spans="1:29" ht="0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7.25" customHeight="1" x14ac:dyDescent="0.25">
      <c r="J608" s="96" t="s">
        <v>9</v>
      </c>
      <c r="K608" s="97"/>
      <c r="L608" s="98" t="s">
        <v>10</v>
      </c>
      <c r="M608" s="94"/>
      <c r="N608" s="94" t="s">
        <v>3</v>
      </c>
      <c r="O608" s="94"/>
      <c r="P608" s="94" t="s">
        <v>4</v>
      </c>
      <c r="Q608" s="94"/>
      <c r="R608" s="94" t="s">
        <v>5</v>
      </c>
      <c r="S608" s="94"/>
      <c r="T608" s="94" t="s">
        <v>6</v>
      </c>
      <c r="U608" s="94"/>
      <c r="V608" s="94" t="s">
        <v>7</v>
      </c>
      <c r="W608" s="94"/>
      <c r="X608" s="94" t="s">
        <v>11</v>
      </c>
      <c r="Y608" s="94"/>
      <c r="Z608" s="99" t="s">
        <v>49</v>
      </c>
      <c r="AA608" s="99"/>
      <c r="AB608" s="94" t="s">
        <v>0</v>
      </c>
      <c r="AC608" s="94"/>
    </row>
    <row r="609" spans="1:36" ht="17.25" customHeight="1" x14ac:dyDescent="0.25">
      <c r="J609" s="2" t="s">
        <v>1</v>
      </c>
      <c r="K609" s="2" t="s">
        <v>2</v>
      </c>
      <c r="L609" s="2" t="s">
        <v>1</v>
      </c>
      <c r="M609" s="2" t="s">
        <v>2</v>
      </c>
      <c r="N609" s="2" t="s">
        <v>1</v>
      </c>
      <c r="O609" s="2" t="s">
        <v>2</v>
      </c>
      <c r="P609" s="2" t="s">
        <v>1</v>
      </c>
      <c r="Q609" s="2" t="s">
        <v>2</v>
      </c>
      <c r="R609" s="2" t="s">
        <v>1</v>
      </c>
      <c r="S609" s="2" t="s">
        <v>2</v>
      </c>
      <c r="T609" s="2" t="s">
        <v>1</v>
      </c>
      <c r="U609" s="2" t="s">
        <v>2</v>
      </c>
      <c r="V609" s="2" t="s">
        <v>1</v>
      </c>
      <c r="W609" s="2" t="s">
        <v>2</v>
      </c>
      <c r="X609" s="2" t="s">
        <v>1</v>
      </c>
      <c r="Y609" s="2" t="s">
        <v>2</v>
      </c>
      <c r="Z609" s="17" t="s">
        <v>1</v>
      </c>
      <c r="AA609" s="17" t="s">
        <v>2</v>
      </c>
      <c r="AB609" s="94"/>
      <c r="AC609" s="94"/>
    </row>
    <row r="610" spans="1:36" ht="18.75" customHeight="1" x14ac:dyDescent="0.25">
      <c r="A610" s="90" t="s">
        <v>71</v>
      </c>
      <c r="B610" s="91"/>
      <c r="C610" s="91"/>
      <c r="D610" s="91"/>
      <c r="E610" s="91"/>
      <c r="F610" s="91"/>
      <c r="G610" s="91"/>
      <c r="H610" s="91"/>
      <c r="I610" s="92"/>
      <c r="J610" s="14">
        <v>0</v>
      </c>
      <c r="K610" s="14">
        <v>0</v>
      </c>
      <c r="L610" s="14">
        <v>0</v>
      </c>
      <c r="M610" s="14">
        <v>0</v>
      </c>
      <c r="N610" s="14">
        <v>2</v>
      </c>
      <c r="O610" s="14">
        <v>3</v>
      </c>
      <c r="P610" s="14">
        <v>2</v>
      </c>
      <c r="Q610" s="14">
        <v>2</v>
      </c>
      <c r="R610" s="14">
        <v>2</v>
      </c>
      <c r="S610" s="14">
        <v>0</v>
      </c>
      <c r="T610" s="14">
        <v>1</v>
      </c>
      <c r="U610" s="14">
        <v>1</v>
      </c>
      <c r="V610" s="14">
        <v>3</v>
      </c>
      <c r="W610" s="14">
        <v>3</v>
      </c>
      <c r="X610" s="14">
        <v>2</v>
      </c>
      <c r="Y610" s="14">
        <v>1</v>
      </c>
      <c r="Z610" s="18">
        <f>X610+V610+T610+R610+P610+N610+L610+J610</f>
        <v>12</v>
      </c>
      <c r="AA610" s="18">
        <f>Y610+W610+U610+S610+Q610+O610+M610+K610</f>
        <v>10</v>
      </c>
      <c r="AB610" s="93">
        <f t="shared" ref="AB610:AB615" si="24">AA610+Z610</f>
        <v>22</v>
      </c>
      <c r="AC610" s="93"/>
    </row>
    <row r="611" spans="1:36" ht="18.75" customHeight="1" x14ac:dyDescent="0.25">
      <c r="A611" s="53" t="s">
        <v>37</v>
      </c>
      <c r="B611" s="54"/>
      <c r="C611" s="54"/>
      <c r="D611" s="54"/>
      <c r="E611" s="54"/>
      <c r="F611" s="54"/>
      <c r="G611" s="54"/>
      <c r="H611" s="54"/>
      <c r="I611" s="55"/>
      <c r="J611" s="29">
        <v>0</v>
      </c>
      <c r="K611" s="29">
        <v>0</v>
      </c>
      <c r="L611" s="29">
        <v>0</v>
      </c>
      <c r="M611" s="29">
        <v>0</v>
      </c>
      <c r="N611" s="29">
        <v>1</v>
      </c>
      <c r="O611" s="29">
        <v>1</v>
      </c>
      <c r="P611" s="29">
        <v>1</v>
      </c>
      <c r="Q611" s="29">
        <v>3</v>
      </c>
      <c r="R611" s="29">
        <v>0</v>
      </c>
      <c r="S611" s="29">
        <v>1</v>
      </c>
      <c r="T611" s="29">
        <v>3</v>
      </c>
      <c r="U611" s="29">
        <v>1</v>
      </c>
      <c r="V611" s="29">
        <v>0</v>
      </c>
      <c r="W611" s="29">
        <v>1</v>
      </c>
      <c r="X611" s="29">
        <v>2</v>
      </c>
      <c r="Y611" s="29">
        <v>0</v>
      </c>
      <c r="Z611" s="18">
        <f t="shared" ref="Z611:AA615" si="25">X611+V611+T611+R611+P611+N611+L611+J611</f>
        <v>7</v>
      </c>
      <c r="AA611" s="18">
        <f t="shared" si="25"/>
        <v>7</v>
      </c>
      <c r="AB611" s="93">
        <f t="shared" si="24"/>
        <v>14</v>
      </c>
      <c r="AC611" s="93"/>
    </row>
    <row r="612" spans="1:36" ht="24" customHeight="1" x14ac:dyDescent="0.25">
      <c r="A612" s="90" t="s">
        <v>72</v>
      </c>
      <c r="B612" s="91"/>
      <c r="C612" s="91"/>
      <c r="D612" s="91"/>
      <c r="E612" s="91"/>
      <c r="F612" s="91"/>
      <c r="G612" s="91"/>
      <c r="H612" s="91"/>
      <c r="I612" s="92"/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18">
        <f t="shared" si="25"/>
        <v>0</v>
      </c>
      <c r="AA612" s="18">
        <f t="shared" si="25"/>
        <v>0</v>
      </c>
      <c r="AB612" s="93">
        <f t="shared" si="24"/>
        <v>0</v>
      </c>
      <c r="AC612" s="93"/>
    </row>
    <row r="613" spans="1:36" ht="18.75" customHeight="1" x14ac:dyDescent="0.25">
      <c r="A613" s="90" t="s">
        <v>38</v>
      </c>
      <c r="B613" s="91"/>
      <c r="C613" s="91"/>
      <c r="D613" s="91"/>
      <c r="E613" s="91"/>
      <c r="F613" s="91"/>
      <c r="G613" s="91"/>
      <c r="H613" s="91"/>
      <c r="I613" s="92"/>
      <c r="J613" s="29">
        <v>0</v>
      </c>
      <c r="K613" s="29">
        <v>0</v>
      </c>
      <c r="L613" s="29">
        <v>0</v>
      </c>
      <c r="M613" s="29">
        <v>0</v>
      </c>
      <c r="N613" s="29">
        <v>0</v>
      </c>
      <c r="O613" s="29">
        <v>0</v>
      </c>
      <c r="P613" s="29">
        <v>0</v>
      </c>
      <c r="Q613" s="29">
        <v>0</v>
      </c>
      <c r="R613" s="29">
        <v>0</v>
      </c>
      <c r="S613" s="29">
        <v>0</v>
      </c>
      <c r="T613" s="29">
        <v>0</v>
      </c>
      <c r="U613" s="29">
        <v>0</v>
      </c>
      <c r="V613" s="29">
        <v>0</v>
      </c>
      <c r="W613" s="29">
        <v>0</v>
      </c>
      <c r="X613" s="29">
        <v>0</v>
      </c>
      <c r="Y613" s="29">
        <v>0</v>
      </c>
      <c r="Z613" s="18">
        <f t="shared" si="25"/>
        <v>0</v>
      </c>
      <c r="AA613" s="18">
        <f t="shared" si="25"/>
        <v>0</v>
      </c>
      <c r="AB613" s="93">
        <f t="shared" si="24"/>
        <v>0</v>
      </c>
      <c r="AC613" s="93"/>
    </row>
    <row r="614" spans="1:36" ht="18.75" customHeight="1" x14ac:dyDescent="0.25">
      <c r="A614" s="90" t="s">
        <v>39</v>
      </c>
      <c r="B614" s="91"/>
      <c r="C614" s="91"/>
      <c r="D614" s="91"/>
      <c r="E614" s="91"/>
      <c r="F614" s="91"/>
      <c r="G614" s="91"/>
      <c r="H614" s="91"/>
      <c r="I614" s="92"/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  <c r="P614" s="29">
        <v>0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18">
        <f t="shared" si="25"/>
        <v>0</v>
      </c>
      <c r="AA614" s="18">
        <f t="shared" si="25"/>
        <v>0</v>
      </c>
      <c r="AB614" s="93">
        <f t="shared" si="24"/>
        <v>0</v>
      </c>
      <c r="AC614" s="93"/>
    </row>
    <row r="615" spans="1:36" ht="18.75" customHeight="1" x14ac:dyDescent="0.25">
      <c r="A615" s="90" t="s">
        <v>17</v>
      </c>
      <c r="B615" s="91"/>
      <c r="C615" s="91"/>
      <c r="D615" s="91"/>
      <c r="E615" s="91"/>
      <c r="F615" s="91"/>
      <c r="G615" s="91"/>
      <c r="H615" s="91"/>
      <c r="I615" s="92"/>
      <c r="J615" s="29">
        <v>0</v>
      </c>
      <c r="K615" s="29">
        <v>0</v>
      </c>
      <c r="L615" s="29">
        <v>0</v>
      </c>
      <c r="M615" s="29">
        <v>0</v>
      </c>
      <c r="N615" s="29">
        <v>0</v>
      </c>
      <c r="O615" s="29">
        <v>0</v>
      </c>
      <c r="P615" s="29">
        <v>0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1</v>
      </c>
      <c r="X615" s="29">
        <v>0</v>
      </c>
      <c r="Y615" s="29">
        <v>0</v>
      </c>
      <c r="Z615" s="18">
        <f t="shared" si="25"/>
        <v>0</v>
      </c>
      <c r="AA615" s="18">
        <f t="shared" si="25"/>
        <v>1</v>
      </c>
      <c r="AB615" s="93">
        <f t="shared" si="24"/>
        <v>1</v>
      </c>
      <c r="AC615" s="93"/>
    </row>
    <row r="616" spans="1:36" ht="9" customHeight="1" x14ac:dyDescent="0.25"/>
    <row r="617" spans="1:36" ht="1.5" hidden="1" customHeight="1" x14ac:dyDescent="0.25"/>
    <row r="618" spans="1:36" ht="15.75" x14ac:dyDescent="0.25">
      <c r="A618" s="4" t="s">
        <v>73</v>
      </c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N618" s="4" t="s">
        <v>20</v>
      </c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36" ht="15" customHeight="1" x14ac:dyDescent="0.25">
      <c r="A619" s="123" t="s">
        <v>74</v>
      </c>
      <c r="B619" s="123"/>
      <c r="C619" s="123"/>
      <c r="D619" s="123"/>
      <c r="E619" s="50" t="s">
        <v>75</v>
      </c>
      <c r="F619" s="50"/>
      <c r="G619" s="50"/>
      <c r="H619" s="50"/>
      <c r="I619" s="50" t="s">
        <v>76</v>
      </c>
      <c r="J619" s="50"/>
      <c r="K619" s="50"/>
      <c r="L619" s="50"/>
      <c r="M619" s="9"/>
      <c r="N619" s="124" t="s">
        <v>77</v>
      </c>
      <c r="O619" s="125"/>
      <c r="P619" s="125"/>
      <c r="Q619" s="125"/>
      <c r="R619" s="125"/>
      <c r="S619" s="126"/>
      <c r="T619" s="50" t="s">
        <v>21</v>
      </c>
      <c r="U619" s="50"/>
      <c r="V619" s="50" t="s">
        <v>22</v>
      </c>
      <c r="W619" s="50"/>
      <c r="X619" s="50"/>
      <c r="Y619" s="50"/>
      <c r="Z619" s="50"/>
      <c r="AA619" s="50" t="s">
        <v>23</v>
      </c>
      <c r="AB619" s="50"/>
      <c r="AC619" s="50"/>
      <c r="AD619" s="10"/>
      <c r="AE619" s="3"/>
      <c r="AG619" s="9"/>
      <c r="AH619" s="9"/>
      <c r="AI619" s="9"/>
      <c r="AJ619" s="9"/>
    </row>
    <row r="620" spans="1:36" ht="51" customHeight="1" x14ac:dyDescent="0.25">
      <c r="A620" s="123"/>
      <c r="B620" s="123"/>
      <c r="C620" s="123"/>
      <c r="D620" s="123"/>
      <c r="E620" s="50"/>
      <c r="F620" s="50"/>
      <c r="G620" s="50"/>
      <c r="H620" s="50"/>
      <c r="I620" s="50"/>
      <c r="J620" s="50"/>
      <c r="K620" s="50"/>
      <c r="L620" s="50"/>
      <c r="M620" s="20"/>
      <c r="N620" s="101"/>
      <c r="O620" s="102"/>
      <c r="P620" s="102"/>
      <c r="Q620" s="102"/>
      <c r="R620" s="102"/>
      <c r="S620" s="127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10"/>
      <c r="AE620" s="3"/>
      <c r="AG620" s="21"/>
      <c r="AH620" s="21"/>
      <c r="AI620" s="21"/>
      <c r="AJ620" s="9"/>
    </row>
    <row r="621" spans="1:36" ht="48.75" customHeight="1" x14ac:dyDescent="0.25">
      <c r="A621" s="50" t="s">
        <v>78</v>
      </c>
      <c r="B621" s="50"/>
      <c r="C621" s="52" t="s">
        <v>79</v>
      </c>
      <c r="D621" s="116"/>
      <c r="E621" s="50" t="s">
        <v>78</v>
      </c>
      <c r="F621" s="50"/>
      <c r="G621" s="50" t="s">
        <v>79</v>
      </c>
      <c r="H621" s="50"/>
      <c r="I621" s="117" t="s">
        <v>80</v>
      </c>
      <c r="J621" s="117"/>
      <c r="K621" s="50" t="s">
        <v>81</v>
      </c>
      <c r="L621" s="50"/>
      <c r="M621" s="20"/>
      <c r="N621" s="118" t="s">
        <v>82</v>
      </c>
      <c r="O621" s="119"/>
      <c r="P621" s="120"/>
      <c r="Q621" s="121" t="s">
        <v>83</v>
      </c>
      <c r="R621" s="122"/>
      <c r="S621" s="122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10"/>
      <c r="AE621" s="22"/>
      <c r="AG621" s="21"/>
      <c r="AH621" s="21"/>
      <c r="AI621" s="21"/>
      <c r="AJ621" s="9"/>
    </row>
    <row r="622" spans="1:36" ht="21.75" customHeight="1" x14ac:dyDescent="0.25">
      <c r="A622" s="56">
        <v>0</v>
      </c>
      <c r="B622" s="56"/>
      <c r="C622" s="56">
        <v>364</v>
      </c>
      <c r="D622" s="56"/>
      <c r="E622" s="134">
        <v>0</v>
      </c>
      <c r="F622" s="134"/>
      <c r="G622" s="134">
        <v>21</v>
      </c>
      <c r="H622" s="134"/>
      <c r="I622" s="134">
        <v>0</v>
      </c>
      <c r="J622" s="134"/>
      <c r="K622" s="134">
        <v>0</v>
      </c>
      <c r="L622" s="134"/>
      <c r="M622" s="20"/>
      <c r="N622" s="100">
        <v>37</v>
      </c>
      <c r="O622" s="100"/>
      <c r="P622" s="100"/>
      <c r="Q622" s="101">
        <v>28</v>
      </c>
      <c r="R622" s="102"/>
      <c r="S622" s="102"/>
      <c r="T622" s="103">
        <v>1</v>
      </c>
      <c r="U622" s="103"/>
      <c r="V622" s="103">
        <v>1</v>
      </c>
      <c r="W622" s="103"/>
      <c r="X622" s="103"/>
      <c r="Y622" s="103"/>
      <c r="Z622" s="103"/>
      <c r="AA622" s="104">
        <v>1</v>
      </c>
      <c r="AB622" s="104"/>
      <c r="AC622" s="104"/>
      <c r="AD622" s="22"/>
      <c r="AE622" s="23"/>
      <c r="AG622" s="9"/>
      <c r="AH622" s="9"/>
      <c r="AI622" s="9"/>
      <c r="AJ622" s="9"/>
    </row>
    <row r="623" spans="1:36" ht="6" customHeight="1" x14ac:dyDescent="0.25">
      <c r="L623" s="24"/>
      <c r="AG623" s="9"/>
      <c r="AH623" s="9"/>
      <c r="AI623" s="9"/>
      <c r="AJ623" s="9"/>
    </row>
    <row r="624" spans="1:36" ht="15.75" x14ac:dyDescent="0.25">
      <c r="A624" s="4" t="s">
        <v>24</v>
      </c>
      <c r="B624" s="19"/>
      <c r="C624" s="19"/>
      <c r="D624" s="19"/>
      <c r="E624" s="19"/>
      <c r="M624" s="19"/>
      <c r="N624" s="4" t="s">
        <v>25</v>
      </c>
      <c r="O624" s="19"/>
      <c r="AG624" s="9"/>
      <c r="AH624" s="9"/>
      <c r="AI624" s="9"/>
      <c r="AJ624" s="9"/>
    </row>
    <row r="625" spans="1:40" ht="15" customHeight="1" x14ac:dyDescent="0.25">
      <c r="A625" s="50" t="s">
        <v>26</v>
      </c>
      <c r="B625" s="50"/>
      <c r="C625" s="50"/>
      <c r="D625" s="50"/>
      <c r="E625" s="50"/>
      <c r="F625" s="105" t="s">
        <v>27</v>
      </c>
      <c r="G625" s="106"/>
      <c r="H625" s="106"/>
      <c r="I625" s="106"/>
      <c r="J625" s="106"/>
      <c r="K625" s="106"/>
      <c r="L625" s="107"/>
      <c r="M625" s="24"/>
      <c r="N625" s="50" t="s">
        <v>84</v>
      </c>
      <c r="O625" s="50"/>
      <c r="P625" s="50"/>
      <c r="Q625" s="50"/>
      <c r="R625" s="105" t="s">
        <v>28</v>
      </c>
      <c r="S625" s="106"/>
      <c r="T625" s="106"/>
      <c r="U625" s="107"/>
      <c r="V625" s="50" t="s">
        <v>29</v>
      </c>
      <c r="W625" s="50"/>
      <c r="X625" s="50"/>
      <c r="Y625" s="50"/>
      <c r="Z625" s="50"/>
      <c r="AA625" s="106" t="s">
        <v>85</v>
      </c>
      <c r="AB625" s="106"/>
      <c r="AC625" s="107"/>
    </row>
    <row r="626" spans="1:40" x14ac:dyDescent="0.25">
      <c r="A626" s="50"/>
      <c r="B626" s="50"/>
      <c r="C626" s="50"/>
      <c r="D626" s="50"/>
      <c r="E626" s="50"/>
      <c r="F626" s="108"/>
      <c r="G626" s="109"/>
      <c r="H626" s="109"/>
      <c r="I626" s="109"/>
      <c r="J626" s="109"/>
      <c r="K626" s="109"/>
      <c r="L626" s="110"/>
      <c r="M626" s="24"/>
      <c r="N626" s="50"/>
      <c r="O626" s="50"/>
      <c r="P626" s="50"/>
      <c r="Q626" s="50"/>
      <c r="R626" s="108"/>
      <c r="S626" s="109"/>
      <c r="T626" s="109"/>
      <c r="U626" s="110"/>
      <c r="V626" s="50"/>
      <c r="W626" s="50"/>
      <c r="X626" s="50"/>
      <c r="Y626" s="50"/>
      <c r="Z626" s="50"/>
      <c r="AA626" s="109"/>
      <c r="AB626" s="109"/>
      <c r="AC626" s="110"/>
    </row>
    <row r="627" spans="1:40" x14ac:dyDescent="0.25">
      <c r="A627" s="50"/>
      <c r="B627" s="50"/>
      <c r="C627" s="50"/>
      <c r="D627" s="50"/>
      <c r="E627" s="50"/>
      <c r="F627" s="111"/>
      <c r="G627" s="112"/>
      <c r="H627" s="112"/>
      <c r="I627" s="112"/>
      <c r="J627" s="112"/>
      <c r="K627" s="112"/>
      <c r="L627" s="113"/>
      <c r="M627" s="24"/>
      <c r="N627" s="50"/>
      <c r="O627" s="50"/>
      <c r="P627" s="50"/>
      <c r="Q627" s="50"/>
      <c r="R627" s="111"/>
      <c r="S627" s="112"/>
      <c r="T627" s="112"/>
      <c r="U627" s="113"/>
      <c r="V627" s="50"/>
      <c r="W627" s="50"/>
      <c r="X627" s="50"/>
      <c r="Y627" s="50"/>
      <c r="Z627" s="50"/>
      <c r="AA627" s="112"/>
      <c r="AB627" s="112"/>
      <c r="AC627" s="113"/>
    </row>
    <row r="628" spans="1:40" ht="21.75" customHeight="1" x14ac:dyDescent="0.25">
      <c r="A628" s="50">
        <v>20</v>
      </c>
      <c r="B628" s="50"/>
      <c r="C628" s="50"/>
      <c r="D628" s="50"/>
      <c r="E628" s="50"/>
      <c r="F628" s="111">
        <v>2</v>
      </c>
      <c r="G628" s="112"/>
      <c r="H628" s="112"/>
      <c r="I628" s="112"/>
      <c r="J628" s="112"/>
      <c r="K628" s="112"/>
      <c r="L628" s="113"/>
      <c r="M628" s="24"/>
      <c r="N628" s="50">
        <v>6</v>
      </c>
      <c r="O628" s="50"/>
      <c r="P628" s="50"/>
      <c r="Q628" s="50"/>
      <c r="R628" s="111">
        <v>24</v>
      </c>
      <c r="S628" s="112"/>
      <c r="T628" s="112"/>
      <c r="U628" s="113"/>
      <c r="V628" s="50">
        <v>72</v>
      </c>
      <c r="W628" s="50"/>
      <c r="X628" s="50"/>
      <c r="Y628" s="50"/>
      <c r="Z628" s="50"/>
      <c r="AA628" s="112">
        <v>0</v>
      </c>
      <c r="AB628" s="112"/>
      <c r="AC628" s="113"/>
    </row>
    <row r="629" spans="1:40" x14ac:dyDescent="0.25">
      <c r="A629" s="16"/>
      <c r="B629" s="16" t="s">
        <v>86</v>
      </c>
      <c r="C629" s="7" t="s">
        <v>87</v>
      </c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40" x14ac:dyDescent="0.25">
      <c r="A630" s="16"/>
      <c r="B630" s="16" t="s">
        <v>12</v>
      </c>
      <c r="C630" s="7" t="s">
        <v>88</v>
      </c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40" x14ac:dyDescent="0.25">
      <c r="A631" s="128"/>
      <c r="B631" s="16" t="s">
        <v>13</v>
      </c>
      <c r="C631" s="7" t="s">
        <v>89</v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40" ht="15" customHeight="1" x14ac:dyDescent="0.25">
      <c r="A632" s="128"/>
      <c r="B632" s="128" t="s">
        <v>14</v>
      </c>
      <c r="C632" s="137" t="s">
        <v>90</v>
      </c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27"/>
      <c r="AN632" s="15">
        <f ca="1">AN632:AO632</f>
        <v>0</v>
      </c>
    </row>
    <row r="633" spans="1:40" x14ac:dyDescent="0.25">
      <c r="B633" s="128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27"/>
    </row>
    <row r="634" spans="1:40" ht="12.75" customHeight="1" x14ac:dyDescent="0.25">
      <c r="M634" s="129" t="s">
        <v>19</v>
      </c>
      <c r="N634" s="129"/>
      <c r="O634" s="129"/>
      <c r="P634" s="129"/>
      <c r="Q634" s="129"/>
      <c r="R634" s="129"/>
      <c r="S634" s="11"/>
    </row>
    <row r="635" spans="1:40" x14ac:dyDescent="0.25">
      <c r="L635" s="12"/>
      <c r="M635" s="12"/>
      <c r="N635" s="12"/>
      <c r="O635" s="12"/>
      <c r="P635" s="13"/>
      <c r="R635" s="11"/>
      <c r="S635" s="11"/>
    </row>
    <row r="636" spans="1:40" x14ac:dyDescent="0.25">
      <c r="L636" s="9"/>
      <c r="R636" s="25"/>
      <c r="S636" s="25"/>
      <c r="T636" s="9"/>
      <c r="U636" s="9"/>
      <c r="V636" s="9"/>
      <c r="W636" s="9"/>
      <c r="X636" s="9"/>
      <c r="Y636" s="9"/>
      <c r="Z636" s="9"/>
    </row>
    <row r="637" spans="1:40" ht="15.75" x14ac:dyDescent="0.25">
      <c r="L637" s="25"/>
      <c r="M637" s="130" t="s">
        <v>97</v>
      </c>
      <c r="N637" s="130"/>
      <c r="O637" s="130"/>
      <c r="P637" s="130"/>
      <c r="Q637" s="130"/>
      <c r="R637" s="130"/>
      <c r="S637" s="25"/>
      <c r="T637" s="9"/>
      <c r="U637" s="9"/>
      <c r="V637" s="9"/>
      <c r="W637" s="9"/>
      <c r="X637" s="9"/>
      <c r="Y637" s="9"/>
      <c r="Z637" s="9"/>
    </row>
    <row r="638" spans="1:40" ht="15.75" x14ac:dyDescent="0.25">
      <c r="L638" s="25"/>
      <c r="M638" s="131" t="s">
        <v>98</v>
      </c>
      <c r="N638" s="131"/>
      <c r="O638" s="131"/>
      <c r="P638" s="131"/>
      <c r="Q638" s="131"/>
      <c r="R638" s="131"/>
      <c r="S638" s="25"/>
      <c r="T638" s="9"/>
      <c r="U638" s="9"/>
      <c r="V638" s="9"/>
      <c r="W638" s="9"/>
      <c r="X638" s="9"/>
      <c r="Y638" s="9"/>
      <c r="Z638" s="9"/>
    </row>
    <row r="640" spans="1:40" ht="12.75" customHeight="1" x14ac:dyDescent="0.25"/>
    <row r="641" spans="1:29" ht="12.75" customHeight="1" x14ac:dyDescent="0.25"/>
    <row r="642" spans="1:29" ht="12.75" customHeight="1" x14ac:dyDescent="0.25">
      <c r="A642" s="34" t="s">
        <v>41</v>
      </c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spans="1:29" ht="12" customHeight="1" x14ac:dyDescent="0.25">
      <c r="A643" s="35" t="s">
        <v>30</v>
      </c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</row>
    <row r="644" spans="1:29" ht="12" customHeight="1" x14ac:dyDescent="0.25">
      <c r="A644" s="35" t="s">
        <v>46</v>
      </c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</row>
    <row r="645" spans="1:29" ht="12" customHeight="1" x14ac:dyDescent="0.25">
      <c r="A645" s="36" t="s">
        <v>62</v>
      </c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</row>
    <row r="646" spans="1:29" ht="12" customHeight="1" x14ac:dyDescent="0.25">
      <c r="A646" s="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5">
      <c r="A647" s="37" t="s">
        <v>63</v>
      </c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 spans="1:29" ht="6" customHeight="1" x14ac:dyDescent="0.25"/>
    <row r="649" spans="1:29" ht="12.75" customHeight="1" x14ac:dyDescent="0.25">
      <c r="A649" s="38" t="s">
        <v>64</v>
      </c>
      <c r="B649" s="39"/>
      <c r="C649" s="39"/>
      <c r="D649" s="39"/>
      <c r="E649" s="39"/>
      <c r="F649" s="39"/>
      <c r="G649" s="39"/>
      <c r="H649" s="40"/>
      <c r="I649" s="38" t="s">
        <v>65</v>
      </c>
      <c r="J649" s="39"/>
      <c r="K649" s="39"/>
      <c r="L649" s="39"/>
      <c r="M649" s="39"/>
      <c r="N649" s="39"/>
      <c r="O649" s="39"/>
      <c r="P649" s="39"/>
      <c r="Q649" s="40"/>
      <c r="R649" s="38" t="s">
        <v>18</v>
      </c>
      <c r="S649" s="39"/>
      <c r="T649" s="39"/>
      <c r="U649" s="40"/>
      <c r="V649" s="41" t="s">
        <v>66</v>
      </c>
      <c r="W649" s="42"/>
      <c r="X649" s="42"/>
      <c r="Y649" s="42"/>
      <c r="Z649" s="42"/>
      <c r="AA649" s="42"/>
      <c r="AB649" s="42"/>
      <c r="AC649" s="43"/>
    </row>
    <row r="650" spans="1:29" ht="12.75" customHeight="1" x14ac:dyDescent="0.25">
      <c r="A650" s="47" t="s">
        <v>40</v>
      </c>
      <c r="B650" s="48"/>
      <c r="C650" s="48"/>
      <c r="D650" s="48"/>
      <c r="E650" s="48"/>
      <c r="F650" s="48"/>
      <c r="G650" s="48"/>
      <c r="H650" s="49"/>
      <c r="I650" s="47" t="s">
        <v>61</v>
      </c>
      <c r="J650" s="48"/>
      <c r="K650" s="48"/>
      <c r="L650" s="48"/>
      <c r="M650" s="48"/>
      <c r="N650" s="48"/>
      <c r="O650" s="48"/>
      <c r="P650" s="48"/>
      <c r="Q650" s="49"/>
      <c r="R650" s="58">
        <v>2025</v>
      </c>
      <c r="S650" s="59"/>
      <c r="T650" s="59"/>
      <c r="U650" s="60"/>
      <c r="V650" s="44"/>
      <c r="W650" s="45"/>
      <c r="X650" s="45"/>
      <c r="Y650" s="45"/>
      <c r="Z650" s="45"/>
      <c r="AA650" s="45"/>
      <c r="AB650" s="45"/>
      <c r="AC650" s="46"/>
    </row>
    <row r="651" spans="1:29" ht="12.75" customHeight="1" x14ac:dyDescent="0.25">
      <c r="A651" s="61" t="s">
        <v>67</v>
      </c>
      <c r="B651" s="62"/>
      <c r="C651" s="62"/>
      <c r="D651" s="62"/>
      <c r="E651" s="62"/>
      <c r="F651" s="62"/>
      <c r="G651" s="62"/>
      <c r="H651" s="63"/>
      <c r="I651" s="38" t="s">
        <v>68</v>
      </c>
      <c r="J651" s="39"/>
      <c r="K651" s="39"/>
      <c r="L651" s="39"/>
      <c r="M651" s="39"/>
      <c r="N651" s="39"/>
      <c r="O651" s="39"/>
      <c r="P651" s="39"/>
      <c r="Q651" s="40"/>
      <c r="R651" s="64" t="s">
        <v>91</v>
      </c>
      <c r="S651" s="39"/>
      <c r="T651" s="39"/>
      <c r="U651" s="40"/>
      <c r="V651" s="65"/>
      <c r="W651" s="66"/>
      <c r="X651" s="66"/>
      <c r="Y651" s="66"/>
      <c r="Z651" s="66"/>
      <c r="AA651" s="66"/>
      <c r="AB651" s="66"/>
      <c r="AC651" s="67"/>
    </row>
    <row r="652" spans="1:29" ht="12.75" customHeight="1" x14ac:dyDescent="0.25">
      <c r="A652" s="71" t="s">
        <v>61</v>
      </c>
      <c r="B652" s="72"/>
      <c r="C652" s="72"/>
      <c r="D652" s="72"/>
      <c r="E652" s="72"/>
      <c r="F652" s="72"/>
      <c r="G652" s="72"/>
      <c r="H652" s="73"/>
      <c r="I652" s="77" t="s">
        <v>60</v>
      </c>
      <c r="J652" s="78"/>
      <c r="K652" s="78"/>
      <c r="L652" s="78"/>
      <c r="M652" s="78"/>
      <c r="N652" s="78"/>
      <c r="O652" s="78"/>
      <c r="P652" s="78"/>
      <c r="Q652" s="79"/>
      <c r="R652" s="83" t="s">
        <v>43</v>
      </c>
      <c r="S652" s="84"/>
      <c r="T652" s="84"/>
      <c r="U652" s="85"/>
      <c r="V652" s="65"/>
      <c r="W652" s="66"/>
      <c r="X652" s="66"/>
      <c r="Y652" s="66"/>
      <c r="Z652" s="66"/>
      <c r="AA652" s="66"/>
      <c r="AB652" s="66"/>
      <c r="AC652" s="67"/>
    </row>
    <row r="653" spans="1:29" ht="6.75" customHeight="1" x14ac:dyDescent="0.25">
      <c r="A653" s="74"/>
      <c r="B653" s="75"/>
      <c r="C653" s="75"/>
      <c r="D653" s="75"/>
      <c r="E653" s="75"/>
      <c r="F653" s="75"/>
      <c r="G653" s="75"/>
      <c r="H653" s="76"/>
      <c r="I653" s="80"/>
      <c r="J653" s="81"/>
      <c r="K653" s="81"/>
      <c r="L653" s="81"/>
      <c r="M653" s="81"/>
      <c r="N653" s="81"/>
      <c r="O653" s="81"/>
      <c r="P653" s="81"/>
      <c r="Q653" s="82"/>
      <c r="R653" s="86"/>
      <c r="S653" s="87"/>
      <c r="T653" s="87"/>
      <c r="U653" s="88"/>
      <c r="V653" s="68"/>
      <c r="W653" s="69"/>
      <c r="X653" s="69"/>
      <c r="Y653" s="69"/>
      <c r="Z653" s="69"/>
      <c r="AA653" s="69"/>
      <c r="AB653" s="69"/>
      <c r="AC653" s="70"/>
    </row>
    <row r="654" spans="1:29" ht="10.5" customHeight="1" x14ac:dyDescent="0.25"/>
    <row r="655" spans="1:29" ht="12" customHeight="1" x14ac:dyDescent="0.25">
      <c r="A655" s="4" t="s">
        <v>31</v>
      </c>
    </row>
    <row r="656" spans="1:29" ht="12.75" customHeight="1" x14ac:dyDescent="0.25">
      <c r="L656" s="50" t="s">
        <v>15</v>
      </c>
      <c r="M656" s="50"/>
      <c r="N656" s="50"/>
      <c r="O656" s="51" t="s">
        <v>16</v>
      </c>
      <c r="P656" s="51"/>
      <c r="Q656" s="51"/>
      <c r="R656" s="50" t="s">
        <v>32</v>
      </c>
      <c r="S656" s="50"/>
      <c r="T656" s="50"/>
      <c r="U656" s="52"/>
      <c r="V656" s="51" t="s">
        <v>33</v>
      </c>
      <c r="W656" s="51"/>
      <c r="X656" s="51"/>
      <c r="Y656" s="51"/>
      <c r="Z656" s="51"/>
      <c r="AA656" s="51" t="s">
        <v>0</v>
      </c>
      <c r="AB656" s="51"/>
      <c r="AC656" s="51"/>
    </row>
    <row r="657" spans="1:29" ht="12.75" customHeight="1" x14ac:dyDescent="0.25">
      <c r="L657" s="50"/>
      <c r="M657" s="50"/>
      <c r="N657" s="50"/>
      <c r="O657" s="51"/>
      <c r="P657" s="51"/>
      <c r="Q657" s="51"/>
      <c r="R657" s="50"/>
      <c r="S657" s="50"/>
      <c r="T657" s="50"/>
      <c r="U657" s="52"/>
      <c r="V657" s="51"/>
      <c r="W657" s="51"/>
      <c r="X657" s="51"/>
      <c r="Y657" s="51"/>
      <c r="Z657" s="51"/>
      <c r="AA657" s="51"/>
      <c r="AB657" s="51"/>
      <c r="AC657" s="51"/>
    </row>
    <row r="658" spans="1:29" ht="20.25" customHeight="1" x14ac:dyDescent="0.3">
      <c r="A658" s="53" t="s">
        <v>69</v>
      </c>
      <c r="B658" s="54"/>
      <c r="C658" s="54"/>
      <c r="D658" s="54"/>
      <c r="E658" s="54"/>
      <c r="F658" s="54"/>
      <c r="G658" s="54"/>
      <c r="H658" s="54"/>
      <c r="I658" s="54"/>
      <c r="J658" s="54"/>
      <c r="K658" s="55"/>
      <c r="L658" s="132">
        <f>L600+L542+L484</f>
        <v>57</v>
      </c>
      <c r="M658" s="132"/>
      <c r="N658" s="132"/>
      <c r="O658" s="132">
        <f>O600+O542+O484</f>
        <v>9</v>
      </c>
      <c r="P658" s="132"/>
      <c r="Q658" s="132"/>
      <c r="R658" s="132">
        <f>R600+R542+R484</f>
        <v>0</v>
      </c>
      <c r="S658" s="132"/>
      <c r="T658" s="132"/>
      <c r="U658" s="133"/>
      <c r="V658" s="132">
        <f>V600+V542+V484</f>
        <v>0</v>
      </c>
      <c r="W658" s="132"/>
      <c r="X658" s="132"/>
      <c r="Y658" s="132"/>
      <c r="Z658" s="132"/>
      <c r="AA658" s="89">
        <f>V658+R658+O658+L658</f>
        <v>66</v>
      </c>
      <c r="AB658" s="89"/>
      <c r="AC658" s="89"/>
    </row>
    <row r="659" spans="1:29" ht="20.25" customHeight="1" x14ac:dyDescent="0.3">
      <c r="A659" s="53" t="s">
        <v>34</v>
      </c>
      <c r="B659" s="54"/>
      <c r="C659" s="54"/>
      <c r="D659" s="54"/>
      <c r="E659" s="54"/>
      <c r="F659" s="54"/>
      <c r="G659" s="54"/>
      <c r="H659" s="54"/>
      <c r="I659" s="54"/>
      <c r="J659" s="54"/>
      <c r="K659" s="55"/>
      <c r="L659" s="132">
        <f>L601+L543+L485</f>
        <v>25</v>
      </c>
      <c r="M659" s="132"/>
      <c r="N659" s="132"/>
      <c r="O659" s="132">
        <f>O601+O543+O485</f>
        <v>0</v>
      </c>
      <c r="P659" s="132"/>
      <c r="Q659" s="132"/>
      <c r="R659" s="132">
        <f>R601+R543+R485</f>
        <v>0</v>
      </c>
      <c r="S659" s="132"/>
      <c r="T659" s="132"/>
      <c r="U659" s="133"/>
      <c r="V659" s="132">
        <f>V601+V543+V485</f>
        <v>3</v>
      </c>
      <c r="W659" s="132"/>
      <c r="X659" s="132"/>
      <c r="Y659" s="132"/>
      <c r="Z659" s="132"/>
      <c r="AA659" s="89">
        <f>V659+R659+O659+L659</f>
        <v>28</v>
      </c>
      <c r="AB659" s="89"/>
      <c r="AC659" s="89"/>
    </row>
    <row r="660" spans="1:29" ht="20.25" customHeight="1" x14ac:dyDescent="0.3">
      <c r="A660" s="53" t="s">
        <v>70</v>
      </c>
      <c r="B660" s="54"/>
      <c r="C660" s="54"/>
      <c r="D660" s="54"/>
      <c r="E660" s="54"/>
      <c r="F660" s="54"/>
      <c r="G660" s="54"/>
      <c r="H660" s="54"/>
      <c r="I660" s="54"/>
      <c r="J660" s="54"/>
      <c r="K660" s="55"/>
      <c r="L660" s="132">
        <f>L602+L544+L486</f>
        <v>0</v>
      </c>
      <c r="M660" s="132"/>
      <c r="N660" s="132"/>
      <c r="O660" s="132">
        <f>O602+O544+O486</f>
        <v>0</v>
      </c>
      <c r="P660" s="132"/>
      <c r="Q660" s="132"/>
      <c r="R660" s="132">
        <f>R602+R544+R486</f>
        <v>0</v>
      </c>
      <c r="S660" s="132"/>
      <c r="T660" s="132"/>
      <c r="U660" s="133"/>
      <c r="V660" s="132">
        <f>V602+V544+V486</f>
        <v>0</v>
      </c>
      <c r="W660" s="132"/>
      <c r="X660" s="132"/>
      <c r="Y660" s="132"/>
      <c r="Z660" s="132"/>
      <c r="AA660" s="89">
        <f>V660+R660+O660+L660</f>
        <v>0</v>
      </c>
      <c r="AB660" s="89"/>
      <c r="AC660" s="89"/>
    </row>
    <row r="661" spans="1:29" ht="21" customHeight="1" x14ac:dyDescent="0.3">
      <c r="A661" s="53" t="s">
        <v>35</v>
      </c>
      <c r="B661" s="54"/>
      <c r="C661" s="54"/>
      <c r="D661" s="54"/>
      <c r="E661" s="54"/>
      <c r="F661" s="54"/>
      <c r="G661" s="54"/>
      <c r="H661" s="54"/>
      <c r="I661" s="54"/>
      <c r="J661" s="54"/>
      <c r="K661" s="55"/>
      <c r="L661" s="132">
        <f>L603+L545+L487</f>
        <v>5</v>
      </c>
      <c r="M661" s="132"/>
      <c r="N661" s="132"/>
      <c r="O661" s="132">
        <f>O603+O545+O487</f>
        <v>0</v>
      </c>
      <c r="P661" s="132"/>
      <c r="Q661" s="132"/>
      <c r="R661" s="132">
        <f>R603+R545+R487</f>
        <v>0</v>
      </c>
      <c r="S661" s="132"/>
      <c r="T661" s="132"/>
      <c r="U661" s="133"/>
      <c r="V661" s="132">
        <f>V603+V545+V487</f>
        <v>0</v>
      </c>
      <c r="W661" s="132"/>
      <c r="X661" s="132"/>
      <c r="Y661" s="132"/>
      <c r="Z661" s="132"/>
      <c r="AA661" s="89">
        <f>V661+R661+O661+L661</f>
        <v>5</v>
      </c>
      <c r="AB661" s="89"/>
      <c r="AC661" s="89"/>
    </row>
    <row r="662" spans="1:29" ht="4.5" customHeight="1" x14ac:dyDescent="0.25"/>
    <row r="663" spans="1:29" ht="12.75" customHeight="1" x14ac:dyDescent="0.25">
      <c r="A663" s="95" t="s">
        <v>36</v>
      </c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</row>
    <row r="664" spans="1:29" ht="12.75" customHeight="1" x14ac:dyDescent="0.25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</row>
    <row r="665" spans="1:29" ht="0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7.25" customHeight="1" x14ac:dyDescent="0.25">
      <c r="J666" s="96" t="s">
        <v>9</v>
      </c>
      <c r="K666" s="97"/>
      <c r="L666" s="98" t="s">
        <v>10</v>
      </c>
      <c r="M666" s="94"/>
      <c r="N666" s="94" t="s">
        <v>3</v>
      </c>
      <c r="O666" s="94"/>
      <c r="P666" s="94" t="s">
        <v>4</v>
      </c>
      <c r="Q666" s="94"/>
      <c r="R666" s="94" t="s">
        <v>5</v>
      </c>
      <c r="S666" s="94"/>
      <c r="T666" s="94" t="s">
        <v>6</v>
      </c>
      <c r="U666" s="94"/>
      <c r="V666" s="94" t="s">
        <v>7</v>
      </c>
      <c r="W666" s="94"/>
      <c r="X666" s="94" t="s">
        <v>11</v>
      </c>
      <c r="Y666" s="94"/>
      <c r="Z666" s="99" t="s">
        <v>49</v>
      </c>
      <c r="AA666" s="99"/>
      <c r="AB666" s="94" t="s">
        <v>0</v>
      </c>
      <c r="AC666" s="94"/>
    </row>
    <row r="667" spans="1:29" ht="17.25" customHeight="1" x14ac:dyDescent="0.25">
      <c r="J667" s="2" t="s">
        <v>1</v>
      </c>
      <c r="K667" s="2" t="s">
        <v>2</v>
      </c>
      <c r="L667" s="2" t="s">
        <v>1</v>
      </c>
      <c r="M667" s="2" t="s">
        <v>2</v>
      </c>
      <c r="N667" s="2" t="s">
        <v>1</v>
      </c>
      <c r="O667" s="2" t="s">
        <v>2</v>
      </c>
      <c r="P667" s="2" t="s">
        <v>1</v>
      </c>
      <c r="Q667" s="2" t="s">
        <v>2</v>
      </c>
      <c r="R667" s="2" t="s">
        <v>1</v>
      </c>
      <c r="S667" s="2" t="s">
        <v>2</v>
      </c>
      <c r="T667" s="2" t="s">
        <v>1</v>
      </c>
      <c r="U667" s="2" t="s">
        <v>2</v>
      </c>
      <c r="V667" s="2" t="s">
        <v>1</v>
      </c>
      <c r="W667" s="2" t="s">
        <v>2</v>
      </c>
      <c r="X667" s="2" t="s">
        <v>1</v>
      </c>
      <c r="Y667" s="2" t="s">
        <v>2</v>
      </c>
      <c r="Z667" s="17" t="s">
        <v>1</v>
      </c>
      <c r="AA667" s="17" t="s">
        <v>2</v>
      </c>
      <c r="AB667" s="94"/>
      <c r="AC667" s="94"/>
    </row>
    <row r="668" spans="1:29" ht="18.75" customHeight="1" x14ac:dyDescent="0.25">
      <c r="A668" s="90" t="s">
        <v>71</v>
      </c>
      <c r="B668" s="91"/>
      <c r="C668" s="91"/>
      <c r="D668" s="91"/>
      <c r="E668" s="91"/>
      <c r="F668" s="91"/>
      <c r="G668" s="91"/>
      <c r="H668" s="91"/>
      <c r="I668" s="92"/>
      <c r="J668" s="26">
        <f>J610+J552+J494</f>
        <v>0</v>
      </c>
      <c r="K668" s="26">
        <f t="shared" ref="K668:Y668" si="26">K610+K552+K494</f>
        <v>0</v>
      </c>
      <c r="L668" s="26">
        <f t="shared" si="26"/>
        <v>0</v>
      </c>
      <c r="M668" s="26">
        <f t="shared" si="26"/>
        <v>0</v>
      </c>
      <c r="N668" s="26">
        <f t="shared" si="26"/>
        <v>7</v>
      </c>
      <c r="O668" s="26">
        <f t="shared" si="26"/>
        <v>9</v>
      </c>
      <c r="P668" s="26">
        <f t="shared" si="26"/>
        <v>6</v>
      </c>
      <c r="Q668" s="26">
        <f t="shared" si="26"/>
        <v>9</v>
      </c>
      <c r="R668" s="26">
        <f t="shared" si="26"/>
        <v>4</v>
      </c>
      <c r="S668" s="26">
        <f t="shared" si="26"/>
        <v>4</v>
      </c>
      <c r="T668" s="26">
        <f t="shared" si="26"/>
        <v>3</v>
      </c>
      <c r="U668" s="26">
        <f t="shared" si="26"/>
        <v>2</v>
      </c>
      <c r="V668" s="26">
        <f t="shared" si="26"/>
        <v>8</v>
      </c>
      <c r="W668" s="26">
        <f t="shared" si="26"/>
        <v>5</v>
      </c>
      <c r="X668" s="26">
        <f t="shared" si="26"/>
        <v>6</v>
      </c>
      <c r="Y668" s="26">
        <f t="shared" si="26"/>
        <v>3</v>
      </c>
      <c r="Z668" s="18">
        <f>X668+V668+T668+R668+P668+N668+L668+J668</f>
        <v>34</v>
      </c>
      <c r="AA668" s="18">
        <f>Y668+W668+U668+S668+Q668+O668+M668+K668</f>
        <v>32</v>
      </c>
      <c r="AB668" s="93">
        <f t="shared" ref="AB668:AB673" si="27">AA668+Z668</f>
        <v>66</v>
      </c>
      <c r="AC668" s="93"/>
    </row>
    <row r="669" spans="1:29" ht="18.75" customHeight="1" x14ac:dyDescent="0.25">
      <c r="A669" s="53" t="s">
        <v>37</v>
      </c>
      <c r="B669" s="54"/>
      <c r="C669" s="54"/>
      <c r="D669" s="54"/>
      <c r="E669" s="54"/>
      <c r="F669" s="54"/>
      <c r="G669" s="54"/>
      <c r="H669" s="54"/>
      <c r="I669" s="55"/>
      <c r="J669" s="26">
        <f t="shared" ref="J669:Y673" si="28">J611+J553+J495</f>
        <v>0</v>
      </c>
      <c r="K669" s="26">
        <f t="shared" si="28"/>
        <v>0</v>
      </c>
      <c r="L669" s="26">
        <f t="shared" si="28"/>
        <v>0</v>
      </c>
      <c r="M669" s="26">
        <f t="shared" si="28"/>
        <v>0</v>
      </c>
      <c r="N669" s="26">
        <f t="shared" si="28"/>
        <v>5</v>
      </c>
      <c r="O669" s="26">
        <f t="shared" si="28"/>
        <v>2</v>
      </c>
      <c r="P669" s="26">
        <f t="shared" si="28"/>
        <v>3</v>
      </c>
      <c r="Q669" s="26">
        <f t="shared" si="28"/>
        <v>4</v>
      </c>
      <c r="R669" s="26">
        <f t="shared" si="28"/>
        <v>1</v>
      </c>
      <c r="S669" s="26">
        <f t="shared" si="28"/>
        <v>2</v>
      </c>
      <c r="T669" s="26">
        <f t="shared" si="28"/>
        <v>3</v>
      </c>
      <c r="U669" s="26">
        <f t="shared" si="28"/>
        <v>1</v>
      </c>
      <c r="V669" s="26">
        <f t="shared" si="28"/>
        <v>0</v>
      </c>
      <c r="W669" s="26">
        <f t="shared" si="28"/>
        <v>1</v>
      </c>
      <c r="X669" s="26">
        <f t="shared" si="28"/>
        <v>3</v>
      </c>
      <c r="Y669" s="26">
        <f t="shared" si="28"/>
        <v>0</v>
      </c>
      <c r="Z669" s="18">
        <f t="shared" ref="Z669:AA673" si="29">X669+V669+T669+R669+P669+N669+L669+J669</f>
        <v>15</v>
      </c>
      <c r="AA669" s="18">
        <f t="shared" si="29"/>
        <v>10</v>
      </c>
      <c r="AB669" s="93">
        <f t="shared" si="27"/>
        <v>25</v>
      </c>
      <c r="AC669" s="93"/>
    </row>
    <row r="670" spans="1:29" ht="24" customHeight="1" x14ac:dyDescent="0.25">
      <c r="A670" s="90" t="s">
        <v>72</v>
      </c>
      <c r="B670" s="91"/>
      <c r="C670" s="91"/>
      <c r="D670" s="91"/>
      <c r="E670" s="91"/>
      <c r="F670" s="91"/>
      <c r="G670" s="91"/>
      <c r="H670" s="91"/>
      <c r="I670" s="92"/>
      <c r="J670" s="26">
        <f t="shared" si="28"/>
        <v>0</v>
      </c>
      <c r="K670" s="26">
        <f t="shared" si="28"/>
        <v>0</v>
      </c>
      <c r="L670" s="26">
        <f t="shared" si="28"/>
        <v>0</v>
      </c>
      <c r="M670" s="26">
        <f t="shared" si="28"/>
        <v>0</v>
      </c>
      <c r="N670" s="26">
        <f t="shared" si="28"/>
        <v>0</v>
      </c>
      <c r="O670" s="26">
        <f t="shared" si="28"/>
        <v>0</v>
      </c>
      <c r="P670" s="26">
        <f t="shared" si="28"/>
        <v>0</v>
      </c>
      <c r="Q670" s="26">
        <f t="shared" si="28"/>
        <v>0</v>
      </c>
      <c r="R670" s="26">
        <f t="shared" si="28"/>
        <v>0</v>
      </c>
      <c r="S670" s="26">
        <f t="shared" si="28"/>
        <v>0</v>
      </c>
      <c r="T670" s="26">
        <f t="shared" si="28"/>
        <v>0</v>
      </c>
      <c r="U670" s="26">
        <f t="shared" si="28"/>
        <v>0</v>
      </c>
      <c r="V670" s="26">
        <f t="shared" si="28"/>
        <v>0</v>
      </c>
      <c r="W670" s="26">
        <f t="shared" si="28"/>
        <v>0</v>
      </c>
      <c r="X670" s="26">
        <f t="shared" si="28"/>
        <v>0</v>
      </c>
      <c r="Y670" s="26">
        <f t="shared" si="28"/>
        <v>0</v>
      </c>
      <c r="Z670" s="18">
        <f t="shared" si="29"/>
        <v>0</v>
      </c>
      <c r="AA670" s="18">
        <f t="shared" si="29"/>
        <v>0</v>
      </c>
      <c r="AB670" s="93">
        <f t="shared" si="27"/>
        <v>0</v>
      </c>
      <c r="AC670" s="93"/>
    </row>
    <row r="671" spans="1:29" ht="18.75" customHeight="1" x14ac:dyDescent="0.25">
      <c r="A671" s="90" t="s">
        <v>38</v>
      </c>
      <c r="B671" s="91"/>
      <c r="C671" s="91"/>
      <c r="D671" s="91"/>
      <c r="E671" s="91"/>
      <c r="F671" s="91"/>
      <c r="G671" s="91"/>
      <c r="H671" s="91"/>
      <c r="I671" s="92"/>
      <c r="J671" s="26">
        <f t="shared" si="28"/>
        <v>0</v>
      </c>
      <c r="K671" s="26">
        <f t="shared" si="28"/>
        <v>0</v>
      </c>
      <c r="L671" s="26">
        <f t="shared" si="28"/>
        <v>0</v>
      </c>
      <c r="M671" s="26">
        <f t="shared" si="28"/>
        <v>0</v>
      </c>
      <c r="N671" s="26">
        <f t="shared" si="28"/>
        <v>0</v>
      </c>
      <c r="O671" s="26">
        <f t="shared" si="28"/>
        <v>2</v>
      </c>
      <c r="P671" s="26">
        <f t="shared" si="28"/>
        <v>0</v>
      </c>
      <c r="Q671" s="26">
        <f t="shared" si="28"/>
        <v>1</v>
      </c>
      <c r="R671" s="26">
        <f t="shared" si="28"/>
        <v>0</v>
      </c>
      <c r="S671" s="26">
        <f t="shared" si="28"/>
        <v>1</v>
      </c>
      <c r="T671" s="26">
        <f t="shared" si="28"/>
        <v>0</v>
      </c>
      <c r="U671" s="26">
        <f t="shared" si="28"/>
        <v>0</v>
      </c>
      <c r="V671" s="26">
        <f t="shared" si="28"/>
        <v>0</v>
      </c>
      <c r="W671" s="26">
        <f t="shared" si="28"/>
        <v>1</v>
      </c>
      <c r="X671" s="26">
        <f t="shared" si="28"/>
        <v>0</v>
      </c>
      <c r="Y671" s="26">
        <f t="shared" si="28"/>
        <v>0</v>
      </c>
      <c r="Z671" s="18">
        <f t="shared" si="29"/>
        <v>0</v>
      </c>
      <c r="AA671" s="18">
        <f t="shared" si="29"/>
        <v>5</v>
      </c>
      <c r="AB671" s="93">
        <f t="shared" si="27"/>
        <v>5</v>
      </c>
      <c r="AC671" s="93"/>
    </row>
    <row r="672" spans="1:29" ht="18.75" customHeight="1" x14ac:dyDescent="0.25">
      <c r="A672" s="90" t="s">
        <v>39</v>
      </c>
      <c r="B672" s="91"/>
      <c r="C672" s="91"/>
      <c r="D672" s="91"/>
      <c r="E672" s="91"/>
      <c r="F672" s="91"/>
      <c r="G672" s="91"/>
      <c r="H672" s="91"/>
      <c r="I672" s="92"/>
      <c r="J672" s="26">
        <f t="shared" si="28"/>
        <v>0</v>
      </c>
      <c r="K672" s="26">
        <f t="shared" si="28"/>
        <v>0</v>
      </c>
      <c r="L672" s="26">
        <f t="shared" si="28"/>
        <v>0</v>
      </c>
      <c r="M672" s="26">
        <f t="shared" si="28"/>
        <v>0</v>
      </c>
      <c r="N672" s="26">
        <f t="shared" si="28"/>
        <v>0</v>
      </c>
      <c r="O672" s="26">
        <f t="shared" si="28"/>
        <v>0</v>
      </c>
      <c r="P672" s="26">
        <f t="shared" si="28"/>
        <v>0</v>
      </c>
      <c r="Q672" s="26">
        <f t="shared" si="28"/>
        <v>0</v>
      </c>
      <c r="R672" s="26">
        <f t="shared" si="28"/>
        <v>0</v>
      </c>
      <c r="S672" s="26">
        <f t="shared" si="28"/>
        <v>0</v>
      </c>
      <c r="T672" s="26">
        <f t="shared" si="28"/>
        <v>0</v>
      </c>
      <c r="U672" s="26">
        <f t="shared" si="28"/>
        <v>0</v>
      </c>
      <c r="V672" s="26">
        <f t="shared" si="28"/>
        <v>0</v>
      </c>
      <c r="W672" s="26">
        <f t="shared" si="28"/>
        <v>0</v>
      </c>
      <c r="X672" s="26">
        <f t="shared" si="28"/>
        <v>0</v>
      </c>
      <c r="Y672" s="26">
        <f t="shared" si="28"/>
        <v>0</v>
      </c>
      <c r="Z672" s="18">
        <f t="shared" si="29"/>
        <v>0</v>
      </c>
      <c r="AA672" s="18">
        <f t="shared" si="29"/>
        <v>0</v>
      </c>
      <c r="AB672" s="93">
        <f t="shared" si="27"/>
        <v>0</v>
      </c>
      <c r="AC672" s="93"/>
    </row>
    <row r="673" spans="1:36" ht="18.75" customHeight="1" x14ac:dyDescent="0.25">
      <c r="A673" s="90" t="s">
        <v>17</v>
      </c>
      <c r="B673" s="91"/>
      <c r="C673" s="91"/>
      <c r="D673" s="91"/>
      <c r="E673" s="91"/>
      <c r="F673" s="91"/>
      <c r="G673" s="91"/>
      <c r="H673" s="91"/>
      <c r="I673" s="92"/>
      <c r="J673" s="26">
        <f t="shared" si="28"/>
        <v>0</v>
      </c>
      <c r="K673" s="26">
        <f t="shared" si="28"/>
        <v>0</v>
      </c>
      <c r="L673" s="26">
        <f t="shared" si="28"/>
        <v>0</v>
      </c>
      <c r="M673" s="26">
        <f t="shared" si="28"/>
        <v>0</v>
      </c>
      <c r="N673" s="26">
        <f t="shared" si="28"/>
        <v>0</v>
      </c>
      <c r="O673" s="26">
        <f t="shared" si="28"/>
        <v>0</v>
      </c>
      <c r="P673" s="26">
        <f t="shared" si="28"/>
        <v>0</v>
      </c>
      <c r="Q673" s="26">
        <f t="shared" si="28"/>
        <v>0</v>
      </c>
      <c r="R673" s="26">
        <f t="shared" si="28"/>
        <v>1</v>
      </c>
      <c r="S673" s="26">
        <f t="shared" si="28"/>
        <v>0</v>
      </c>
      <c r="T673" s="26">
        <f t="shared" si="28"/>
        <v>0</v>
      </c>
      <c r="U673" s="26">
        <f t="shared" si="28"/>
        <v>0</v>
      </c>
      <c r="V673" s="26">
        <f t="shared" si="28"/>
        <v>1</v>
      </c>
      <c r="W673" s="26">
        <f t="shared" si="28"/>
        <v>1</v>
      </c>
      <c r="X673" s="26">
        <f t="shared" si="28"/>
        <v>0</v>
      </c>
      <c r="Y673" s="26">
        <f t="shared" si="28"/>
        <v>0</v>
      </c>
      <c r="Z673" s="18">
        <f t="shared" si="29"/>
        <v>2</v>
      </c>
      <c r="AA673" s="18">
        <f t="shared" si="29"/>
        <v>1</v>
      </c>
      <c r="AB673" s="93">
        <f t="shared" si="27"/>
        <v>3</v>
      </c>
      <c r="AC673" s="93"/>
    </row>
    <row r="674" spans="1:36" ht="9" customHeight="1" x14ac:dyDescent="0.25"/>
    <row r="675" spans="1:36" ht="1.5" hidden="1" customHeight="1" x14ac:dyDescent="0.25"/>
    <row r="676" spans="1:36" ht="15.75" x14ac:dyDescent="0.25">
      <c r="A676" s="4" t="s">
        <v>73</v>
      </c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N676" s="4" t="s">
        <v>20</v>
      </c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36" ht="15" customHeight="1" x14ac:dyDescent="0.25">
      <c r="A677" s="123" t="s">
        <v>74</v>
      </c>
      <c r="B677" s="123"/>
      <c r="C677" s="123"/>
      <c r="D677" s="123"/>
      <c r="E677" s="50" t="s">
        <v>75</v>
      </c>
      <c r="F677" s="50"/>
      <c r="G677" s="50"/>
      <c r="H677" s="50"/>
      <c r="I677" s="50" t="s">
        <v>76</v>
      </c>
      <c r="J677" s="50"/>
      <c r="K677" s="50"/>
      <c r="L677" s="50"/>
      <c r="M677" s="9"/>
      <c r="N677" s="124" t="s">
        <v>77</v>
      </c>
      <c r="O677" s="125"/>
      <c r="P677" s="125"/>
      <c r="Q677" s="125"/>
      <c r="R677" s="125"/>
      <c r="S677" s="126"/>
      <c r="T677" s="50" t="s">
        <v>21</v>
      </c>
      <c r="U677" s="50"/>
      <c r="V677" s="50" t="s">
        <v>22</v>
      </c>
      <c r="W677" s="50"/>
      <c r="X677" s="50"/>
      <c r="Y677" s="50"/>
      <c r="Z677" s="50"/>
      <c r="AA677" s="50" t="s">
        <v>23</v>
      </c>
      <c r="AB677" s="50"/>
      <c r="AC677" s="50"/>
      <c r="AD677" s="10"/>
      <c r="AE677" s="3"/>
      <c r="AG677" s="9"/>
      <c r="AH677" s="9"/>
      <c r="AI677" s="9"/>
      <c r="AJ677" s="9"/>
    </row>
    <row r="678" spans="1:36" ht="51" customHeight="1" x14ac:dyDescent="0.25">
      <c r="A678" s="123"/>
      <c r="B678" s="123"/>
      <c r="C678" s="123"/>
      <c r="D678" s="123"/>
      <c r="E678" s="50"/>
      <c r="F678" s="50"/>
      <c r="G678" s="50"/>
      <c r="H678" s="50"/>
      <c r="I678" s="50"/>
      <c r="J678" s="50"/>
      <c r="K678" s="50"/>
      <c r="L678" s="50"/>
      <c r="M678" s="20"/>
      <c r="N678" s="101"/>
      <c r="O678" s="102"/>
      <c r="P678" s="102"/>
      <c r="Q678" s="102"/>
      <c r="R678" s="102"/>
      <c r="S678" s="127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10"/>
      <c r="AE678" s="3"/>
      <c r="AG678" s="21"/>
      <c r="AH678" s="21"/>
      <c r="AI678" s="21"/>
      <c r="AJ678" s="9"/>
    </row>
    <row r="679" spans="1:36" ht="48.75" customHeight="1" x14ac:dyDescent="0.25">
      <c r="A679" s="50" t="s">
        <v>78</v>
      </c>
      <c r="B679" s="50"/>
      <c r="C679" s="52" t="s">
        <v>79</v>
      </c>
      <c r="D679" s="116"/>
      <c r="E679" s="50" t="s">
        <v>78</v>
      </c>
      <c r="F679" s="50"/>
      <c r="G679" s="50" t="s">
        <v>79</v>
      </c>
      <c r="H679" s="50"/>
      <c r="I679" s="117" t="s">
        <v>80</v>
      </c>
      <c r="J679" s="117"/>
      <c r="K679" s="50" t="s">
        <v>81</v>
      </c>
      <c r="L679" s="50"/>
      <c r="M679" s="20"/>
      <c r="N679" s="118" t="s">
        <v>82</v>
      </c>
      <c r="O679" s="119"/>
      <c r="P679" s="120"/>
      <c r="Q679" s="121" t="s">
        <v>83</v>
      </c>
      <c r="R679" s="122"/>
      <c r="S679" s="122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10"/>
      <c r="AE679" s="22"/>
      <c r="AG679" s="21"/>
      <c r="AH679" s="21"/>
      <c r="AI679" s="21"/>
      <c r="AJ679" s="9"/>
    </row>
    <row r="680" spans="1:36" ht="21.75" customHeight="1" x14ac:dyDescent="0.25">
      <c r="A680" s="56">
        <f>A622+A564+A506</f>
        <v>0</v>
      </c>
      <c r="B680" s="56"/>
      <c r="C680" s="56">
        <f>C622+C564+C506</f>
        <v>918</v>
      </c>
      <c r="D680" s="56"/>
      <c r="E680" s="147">
        <f>E622+E564+E506</f>
        <v>0</v>
      </c>
      <c r="F680" s="147"/>
      <c r="G680" s="147">
        <f>G622+G564+G506</f>
        <v>65</v>
      </c>
      <c r="H680" s="147"/>
      <c r="I680" s="147">
        <f>I622+I564+I506</f>
        <v>0</v>
      </c>
      <c r="J680" s="147"/>
      <c r="K680" s="147">
        <f>K622+K564+K506</f>
        <v>0</v>
      </c>
      <c r="L680" s="147"/>
      <c r="M680" s="20"/>
      <c r="N680" s="100">
        <f>N622+N564+N506</f>
        <v>99</v>
      </c>
      <c r="O680" s="100"/>
      <c r="P680" s="100"/>
      <c r="Q680" s="100">
        <f>Q622+Q564+Q506</f>
        <v>82</v>
      </c>
      <c r="R680" s="100"/>
      <c r="S680" s="100"/>
      <c r="T680" s="103">
        <f>T622+T564+T506</f>
        <v>2</v>
      </c>
      <c r="U680" s="103"/>
      <c r="V680" s="103">
        <f>V622+V564+V506</f>
        <v>2</v>
      </c>
      <c r="W680" s="103"/>
      <c r="X680" s="103"/>
      <c r="Y680" s="103"/>
      <c r="Z680" s="103"/>
      <c r="AA680" s="104">
        <f>AA622+AA564+AA506</f>
        <v>2</v>
      </c>
      <c r="AB680" s="104"/>
      <c r="AC680" s="104"/>
      <c r="AD680" s="22"/>
      <c r="AE680" s="23"/>
      <c r="AG680" s="9"/>
      <c r="AH680" s="9"/>
      <c r="AI680" s="9"/>
      <c r="AJ680" s="9"/>
    </row>
    <row r="681" spans="1:36" ht="6" customHeight="1" x14ac:dyDescent="0.25">
      <c r="L681" s="24"/>
      <c r="AG681" s="9"/>
      <c r="AH681" s="9"/>
      <c r="AI681" s="9"/>
      <c r="AJ681" s="9"/>
    </row>
    <row r="682" spans="1:36" ht="15.75" x14ac:dyDescent="0.25">
      <c r="A682" s="4" t="s">
        <v>24</v>
      </c>
      <c r="B682" s="19"/>
      <c r="C682" s="19"/>
      <c r="D682" s="19"/>
      <c r="E682" s="19"/>
      <c r="M682" s="19"/>
      <c r="N682" s="4" t="s">
        <v>25</v>
      </c>
      <c r="O682" s="19"/>
      <c r="U682" s="30"/>
      <c r="AG682" s="9"/>
      <c r="AH682" s="9"/>
      <c r="AI682" s="9"/>
      <c r="AJ682" s="9"/>
    </row>
    <row r="683" spans="1:36" ht="15" customHeight="1" x14ac:dyDescent="0.25">
      <c r="A683" s="50" t="s">
        <v>26</v>
      </c>
      <c r="B683" s="50"/>
      <c r="C683" s="50"/>
      <c r="D683" s="50"/>
      <c r="E683" s="50"/>
      <c r="F683" s="105" t="s">
        <v>27</v>
      </c>
      <c r="G683" s="106"/>
      <c r="H683" s="106"/>
      <c r="I683" s="106"/>
      <c r="J683" s="106"/>
      <c r="K683" s="106"/>
      <c r="L683" s="107"/>
      <c r="M683" s="24"/>
      <c r="N683" s="50" t="s">
        <v>84</v>
      </c>
      <c r="O683" s="50"/>
      <c r="P683" s="50"/>
      <c r="Q683" s="50"/>
      <c r="R683" s="105" t="s">
        <v>28</v>
      </c>
      <c r="S683" s="106"/>
      <c r="T683" s="106"/>
      <c r="U683" s="107"/>
      <c r="V683" s="50" t="s">
        <v>29</v>
      </c>
      <c r="W683" s="50"/>
      <c r="X683" s="50"/>
      <c r="Y683" s="50"/>
      <c r="Z683" s="50"/>
      <c r="AA683" s="106" t="s">
        <v>85</v>
      </c>
      <c r="AB683" s="106"/>
      <c r="AC683" s="107"/>
    </row>
    <row r="684" spans="1:36" x14ac:dyDescent="0.25">
      <c r="A684" s="50"/>
      <c r="B684" s="50"/>
      <c r="C684" s="50"/>
      <c r="D684" s="50"/>
      <c r="E684" s="50"/>
      <c r="F684" s="108"/>
      <c r="G684" s="109"/>
      <c r="H684" s="109"/>
      <c r="I684" s="109"/>
      <c r="J684" s="109"/>
      <c r="K684" s="109"/>
      <c r="L684" s="110"/>
      <c r="M684" s="24"/>
      <c r="N684" s="50"/>
      <c r="O684" s="50"/>
      <c r="P684" s="50"/>
      <c r="Q684" s="50"/>
      <c r="R684" s="108"/>
      <c r="S684" s="109"/>
      <c r="T684" s="109"/>
      <c r="U684" s="110"/>
      <c r="V684" s="50"/>
      <c r="W684" s="50"/>
      <c r="X684" s="50"/>
      <c r="Y684" s="50"/>
      <c r="Z684" s="50"/>
      <c r="AA684" s="109"/>
      <c r="AB684" s="109"/>
      <c r="AC684" s="110"/>
    </row>
    <row r="685" spans="1:36" x14ac:dyDescent="0.25">
      <c r="A685" s="50"/>
      <c r="B685" s="50"/>
      <c r="C685" s="50"/>
      <c r="D685" s="50"/>
      <c r="E685" s="50"/>
      <c r="F685" s="111"/>
      <c r="G685" s="112"/>
      <c r="H685" s="112"/>
      <c r="I685" s="112"/>
      <c r="J685" s="112"/>
      <c r="K685" s="112"/>
      <c r="L685" s="113"/>
      <c r="M685" s="24"/>
      <c r="N685" s="50"/>
      <c r="O685" s="50"/>
      <c r="P685" s="50"/>
      <c r="Q685" s="50"/>
      <c r="R685" s="111"/>
      <c r="S685" s="112"/>
      <c r="T685" s="112"/>
      <c r="U685" s="113"/>
      <c r="V685" s="50"/>
      <c r="W685" s="50"/>
      <c r="X685" s="50"/>
      <c r="Y685" s="50"/>
      <c r="Z685" s="50"/>
      <c r="AA685" s="112"/>
      <c r="AB685" s="112"/>
      <c r="AC685" s="113"/>
    </row>
    <row r="686" spans="1:36" ht="21.75" customHeight="1" x14ac:dyDescent="0.25">
      <c r="A686" s="50">
        <f>A628+A570+A512</f>
        <v>42</v>
      </c>
      <c r="B686" s="50"/>
      <c r="C686" s="50"/>
      <c r="D686" s="50"/>
      <c r="E686" s="50"/>
      <c r="F686" s="111">
        <f>F628+F570+F512</f>
        <v>3</v>
      </c>
      <c r="G686" s="112"/>
      <c r="H686" s="112"/>
      <c r="I686" s="112"/>
      <c r="J686" s="112"/>
      <c r="K686" s="112"/>
      <c r="L686" s="113"/>
      <c r="M686" s="24"/>
      <c r="N686" s="50">
        <f>N628+N570+N512</f>
        <v>21</v>
      </c>
      <c r="O686" s="50"/>
      <c r="P686" s="50"/>
      <c r="Q686" s="50"/>
      <c r="R686" s="50">
        <f>R628+R570+R512</f>
        <v>77</v>
      </c>
      <c r="S686" s="50"/>
      <c r="T686" s="50"/>
      <c r="U686" s="50"/>
      <c r="V686" s="50">
        <f>V628+V570+V512</f>
        <v>220</v>
      </c>
      <c r="W686" s="50"/>
      <c r="X686" s="50"/>
      <c r="Y686" s="50"/>
      <c r="Z686" s="50"/>
      <c r="AA686" s="112">
        <f>AA628+AA570+AA512</f>
        <v>0</v>
      </c>
      <c r="AB686" s="112"/>
      <c r="AC686" s="113"/>
    </row>
    <row r="687" spans="1:36" x14ac:dyDescent="0.25">
      <c r="A687" s="16"/>
      <c r="B687" s="16" t="s">
        <v>86</v>
      </c>
      <c r="C687" s="7" t="s">
        <v>87</v>
      </c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6" x14ac:dyDescent="0.25">
      <c r="A688" s="16"/>
      <c r="B688" s="16" t="s">
        <v>12</v>
      </c>
      <c r="C688" s="7" t="s">
        <v>88</v>
      </c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40" x14ac:dyDescent="0.25">
      <c r="A689" s="128"/>
      <c r="B689" s="16" t="s">
        <v>13</v>
      </c>
      <c r="C689" s="7" t="s">
        <v>89</v>
      </c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40" ht="15" customHeight="1" x14ac:dyDescent="0.25">
      <c r="A690" s="128"/>
      <c r="B690" s="128" t="s">
        <v>14</v>
      </c>
      <c r="C690" s="137" t="s">
        <v>90</v>
      </c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27"/>
      <c r="AN690" s="15">
        <f ca="1">AN690:AO690</f>
        <v>0</v>
      </c>
    </row>
    <row r="691" spans="1:40" x14ac:dyDescent="0.25">
      <c r="B691" s="128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27"/>
    </row>
    <row r="692" spans="1:40" ht="12.75" customHeight="1" x14ac:dyDescent="0.25">
      <c r="M692" s="129" t="s">
        <v>19</v>
      </c>
      <c r="N692" s="129"/>
      <c r="O692" s="129"/>
      <c r="P692" s="129"/>
      <c r="Q692" s="129"/>
      <c r="R692" s="129"/>
      <c r="S692" s="11"/>
    </row>
    <row r="693" spans="1:40" x14ac:dyDescent="0.25">
      <c r="L693" s="12"/>
      <c r="M693" s="12"/>
      <c r="N693" s="12"/>
      <c r="O693" s="12"/>
      <c r="P693" s="13"/>
      <c r="R693" s="11"/>
      <c r="S693" s="11"/>
    </row>
    <row r="694" spans="1:40" x14ac:dyDescent="0.25">
      <c r="L694" s="9"/>
      <c r="R694" s="25"/>
      <c r="S694" s="25"/>
      <c r="T694" s="9"/>
      <c r="U694" s="9"/>
      <c r="V694" s="9"/>
      <c r="W694" s="9"/>
      <c r="X694" s="9"/>
      <c r="Y694" s="9"/>
      <c r="Z694" s="9"/>
    </row>
    <row r="695" spans="1:40" ht="15.75" x14ac:dyDescent="0.25">
      <c r="L695" s="25"/>
      <c r="M695" s="130" t="s">
        <v>97</v>
      </c>
      <c r="N695" s="130"/>
      <c r="O695" s="130"/>
      <c r="P695" s="130"/>
      <c r="Q695" s="130"/>
      <c r="R695" s="130"/>
      <c r="S695" s="25"/>
      <c r="T695" s="9"/>
      <c r="U695" s="9"/>
      <c r="V695" s="9"/>
      <c r="W695" s="9"/>
      <c r="X695" s="9"/>
      <c r="Y695" s="9"/>
      <c r="Z695" s="9"/>
    </row>
    <row r="696" spans="1:40" ht="15.75" x14ac:dyDescent="0.25">
      <c r="L696" s="25"/>
      <c r="M696" s="131" t="s">
        <v>98</v>
      </c>
      <c r="N696" s="131"/>
      <c r="O696" s="131"/>
      <c r="P696" s="131"/>
      <c r="Q696" s="131"/>
      <c r="R696" s="131"/>
      <c r="S696" s="25"/>
      <c r="T696" s="9"/>
      <c r="U696" s="9"/>
      <c r="V696" s="9"/>
      <c r="W696" s="9"/>
      <c r="X696" s="9"/>
      <c r="Y696" s="9"/>
      <c r="Z696" s="9"/>
    </row>
    <row r="698" spans="1:40" ht="12.75" customHeight="1" x14ac:dyDescent="0.25"/>
    <row r="699" spans="1:40" ht="12.75" customHeight="1" x14ac:dyDescent="0.25"/>
    <row r="700" spans="1:40" ht="12.75" customHeight="1" x14ac:dyDescent="0.25">
      <c r="A700" s="34" t="s">
        <v>41</v>
      </c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spans="1:40" ht="12" customHeight="1" x14ac:dyDescent="0.25">
      <c r="A701" s="35" t="s">
        <v>30</v>
      </c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</row>
    <row r="702" spans="1:40" ht="12" customHeight="1" x14ac:dyDescent="0.25">
      <c r="A702" s="35" t="s">
        <v>46</v>
      </c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</row>
    <row r="703" spans="1:40" ht="12" customHeight="1" x14ac:dyDescent="0.25">
      <c r="A703" s="36" t="s">
        <v>62</v>
      </c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</row>
    <row r="704" spans="1:40" ht="12" customHeight="1" x14ac:dyDescent="0.25">
      <c r="A704" s="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5">
      <c r="A705" s="37" t="s">
        <v>63</v>
      </c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 spans="1:29" ht="6" customHeight="1" x14ac:dyDescent="0.25"/>
    <row r="707" spans="1:29" ht="12.75" customHeight="1" x14ac:dyDescent="0.25">
      <c r="A707" s="38" t="s">
        <v>64</v>
      </c>
      <c r="B707" s="39"/>
      <c r="C707" s="39"/>
      <c r="D707" s="39"/>
      <c r="E707" s="39"/>
      <c r="F707" s="39"/>
      <c r="G707" s="39"/>
      <c r="H707" s="40"/>
      <c r="I707" s="38" t="s">
        <v>65</v>
      </c>
      <c r="J707" s="39"/>
      <c r="K707" s="39"/>
      <c r="L707" s="39"/>
      <c r="M707" s="39"/>
      <c r="N707" s="39"/>
      <c r="O707" s="39"/>
      <c r="P707" s="39"/>
      <c r="Q707" s="40"/>
      <c r="R707" s="38" t="s">
        <v>18</v>
      </c>
      <c r="S707" s="39"/>
      <c r="T707" s="39"/>
      <c r="U707" s="40"/>
      <c r="V707" s="41" t="s">
        <v>66</v>
      </c>
      <c r="W707" s="42"/>
      <c r="X707" s="42"/>
      <c r="Y707" s="42"/>
      <c r="Z707" s="42"/>
      <c r="AA707" s="42"/>
      <c r="AB707" s="42"/>
      <c r="AC707" s="43"/>
    </row>
    <row r="708" spans="1:29" ht="12.75" customHeight="1" x14ac:dyDescent="0.25">
      <c r="A708" s="47" t="s">
        <v>40</v>
      </c>
      <c r="B708" s="48"/>
      <c r="C708" s="48"/>
      <c r="D708" s="48"/>
      <c r="E708" s="48"/>
      <c r="F708" s="48"/>
      <c r="G708" s="48"/>
      <c r="H708" s="49"/>
      <c r="I708" s="47" t="s">
        <v>61</v>
      </c>
      <c r="J708" s="48"/>
      <c r="K708" s="48"/>
      <c r="L708" s="48"/>
      <c r="M708" s="48"/>
      <c r="N708" s="48"/>
      <c r="O708" s="48"/>
      <c r="P708" s="48"/>
      <c r="Q708" s="49"/>
      <c r="R708" s="58">
        <v>2025</v>
      </c>
      <c r="S708" s="59"/>
      <c r="T708" s="59"/>
      <c r="U708" s="60"/>
      <c r="V708" s="44"/>
      <c r="W708" s="45"/>
      <c r="X708" s="45"/>
      <c r="Y708" s="45"/>
      <c r="Z708" s="45"/>
      <c r="AA708" s="45"/>
      <c r="AB708" s="45"/>
      <c r="AC708" s="46"/>
    </row>
    <row r="709" spans="1:29" ht="12.75" customHeight="1" x14ac:dyDescent="0.25">
      <c r="A709" s="61" t="s">
        <v>67</v>
      </c>
      <c r="B709" s="62"/>
      <c r="C709" s="62"/>
      <c r="D709" s="62"/>
      <c r="E709" s="62"/>
      <c r="F709" s="62"/>
      <c r="G709" s="62"/>
      <c r="H709" s="63"/>
      <c r="I709" s="38" t="s">
        <v>68</v>
      </c>
      <c r="J709" s="39"/>
      <c r="K709" s="39"/>
      <c r="L709" s="39"/>
      <c r="M709" s="39"/>
      <c r="N709" s="39"/>
      <c r="O709" s="39"/>
      <c r="P709" s="39"/>
      <c r="Q709" s="40"/>
      <c r="R709" s="64" t="s">
        <v>47</v>
      </c>
      <c r="S709" s="39"/>
      <c r="T709" s="39"/>
      <c r="U709" s="40"/>
      <c r="V709" s="65"/>
      <c r="W709" s="66"/>
      <c r="X709" s="66"/>
      <c r="Y709" s="66"/>
      <c r="Z709" s="66"/>
      <c r="AA709" s="66"/>
      <c r="AB709" s="66"/>
      <c r="AC709" s="67"/>
    </row>
    <row r="710" spans="1:29" ht="12.75" customHeight="1" x14ac:dyDescent="0.25">
      <c r="A710" s="71" t="s">
        <v>61</v>
      </c>
      <c r="B710" s="72"/>
      <c r="C710" s="72"/>
      <c r="D710" s="72"/>
      <c r="E710" s="72"/>
      <c r="F710" s="72"/>
      <c r="G710" s="72"/>
      <c r="H710" s="73"/>
      <c r="I710" s="77" t="s">
        <v>60</v>
      </c>
      <c r="J710" s="78"/>
      <c r="K710" s="78"/>
      <c r="L710" s="78"/>
      <c r="M710" s="78"/>
      <c r="N710" s="78"/>
      <c r="O710" s="78"/>
      <c r="P710" s="78"/>
      <c r="Q710" s="79"/>
      <c r="R710" s="83" t="s">
        <v>57</v>
      </c>
      <c r="S710" s="84"/>
      <c r="T710" s="84"/>
      <c r="U710" s="85"/>
      <c r="V710" s="65"/>
      <c r="W710" s="66"/>
      <c r="X710" s="66"/>
      <c r="Y710" s="66"/>
      <c r="Z710" s="66"/>
      <c r="AA710" s="66"/>
      <c r="AB710" s="66"/>
      <c r="AC710" s="67"/>
    </row>
    <row r="711" spans="1:29" ht="6.75" customHeight="1" x14ac:dyDescent="0.25">
      <c r="A711" s="74"/>
      <c r="B711" s="75"/>
      <c r="C711" s="75"/>
      <c r="D711" s="75"/>
      <c r="E711" s="75"/>
      <c r="F711" s="75"/>
      <c r="G711" s="75"/>
      <c r="H711" s="76"/>
      <c r="I711" s="80"/>
      <c r="J711" s="81"/>
      <c r="K711" s="81"/>
      <c r="L711" s="81"/>
      <c r="M711" s="81"/>
      <c r="N711" s="81"/>
      <c r="O711" s="81"/>
      <c r="P711" s="81"/>
      <c r="Q711" s="82"/>
      <c r="R711" s="86"/>
      <c r="S711" s="87"/>
      <c r="T711" s="87"/>
      <c r="U711" s="88"/>
      <c r="V711" s="68"/>
      <c r="W711" s="69"/>
      <c r="X711" s="69"/>
      <c r="Y711" s="69"/>
      <c r="Z711" s="69"/>
      <c r="AA711" s="69"/>
      <c r="AB711" s="69"/>
      <c r="AC711" s="70"/>
    </row>
    <row r="712" spans="1:29" ht="10.5" customHeight="1" x14ac:dyDescent="0.25"/>
    <row r="713" spans="1:29" ht="12" customHeight="1" x14ac:dyDescent="0.25">
      <c r="A713" s="4" t="s">
        <v>31</v>
      </c>
    </row>
    <row r="714" spans="1:29" ht="12.75" customHeight="1" x14ac:dyDescent="0.25">
      <c r="L714" s="50" t="s">
        <v>15</v>
      </c>
      <c r="M714" s="50"/>
      <c r="N714" s="50"/>
      <c r="O714" s="51" t="s">
        <v>16</v>
      </c>
      <c r="P714" s="51"/>
      <c r="Q714" s="51"/>
      <c r="R714" s="50" t="s">
        <v>32</v>
      </c>
      <c r="S714" s="50"/>
      <c r="T714" s="50"/>
      <c r="U714" s="52"/>
      <c r="V714" s="51" t="s">
        <v>33</v>
      </c>
      <c r="W714" s="51"/>
      <c r="X714" s="51"/>
      <c r="Y714" s="51"/>
      <c r="Z714" s="51"/>
      <c r="AA714" s="51" t="s">
        <v>0</v>
      </c>
      <c r="AB714" s="51"/>
      <c r="AC714" s="51"/>
    </row>
    <row r="715" spans="1:29" ht="12.75" customHeight="1" x14ac:dyDescent="0.25">
      <c r="L715" s="50"/>
      <c r="M715" s="50"/>
      <c r="N715" s="50"/>
      <c r="O715" s="51"/>
      <c r="P715" s="51"/>
      <c r="Q715" s="51"/>
      <c r="R715" s="50"/>
      <c r="S715" s="50"/>
      <c r="T715" s="50"/>
      <c r="U715" s="52"/>
      <c r="V715" s="51"/>
      <c r="W715" s="51"/>
      <c r="X715" s="51"/>
      <c r="Y715" s="51"/>
      <c r="Z715" s="51"/>
      <c r="AA715" s="51"/>
      <c r="AB715" s="51"/>
      <c r="AC715" s="51"/>
    </row>
    <row r="716" spans="1:29" ht="20.25" customHeight="1" x14ac:dyDescent="0.3">
      <c r="A716" s="53" t="s">
        <v>69</v>
      </c>
      <c r="B716" s="54"/>
      <c r="C716" s="54"/>
      <c r="D716" s="54"/>
      <c r="E716" s="54"/>
      <c r="F716" s="54"/>
      <c r="G716" s="54"/>
      <c r="H716" s="54"/>
      <c r="I716" s="54"/>
      <c r="J716" s="54"/>
      <c r="K716" s="55"/>
      <c r="L716" s="56">
        <v>9</v>
      </c>
      <c r="M716" s="56"/>
      <c r="N716" s="56"/>
      <c r="O716" s="56">
        <v>1</v>
      </c>
      <c r="P716" s="56"/>
      <c r="Q716" s="56"/>
      <c r="R716" s="56">
        <v>0</v>
      </c>
      <c r="S716" s="56"/>
      <c r="T716" s="56"/>
      <c r="U716" s="57"/>
      <c r="V716" s="56">
        <v>0</v>
      </c>
      <c r="W716" s="56"/>
      <c r="X716" s="56"/>
      <c r="Y716" s="56"/>
      <c r="Z716" s="56"/>
      <c r="AA716" s="89">
        <f>V716+R716+O716+L716</f>
        <v>10</v>
      </c>
      <c r="AB716" s="89"/>
      <c r="AC716" s="89"/>
    </row>
    <row r="717" spans="1:29" ht="20.25" customHeight="1" x14ac:dyDescent="0.3">
      <c r="A717" s="53" t="s">
        <v>34</v>
      </c>
      <c r="B717" s="54"/>
      <c r="C717" s="54"/>
      <c r="D717" s="54"/>
      <c r="E717" s="54"/>
      <c r="F717" s="54"/>
      <c r="G717" s="54"/>
      <c r="H717" s="54"/>
      <c r="I717" s="54"/>
      <c r="J717" s="54"/>
      <c r="K717" s="55"/>
      <c r="L717" s="56">
        <v>12</v>
      </c>
      <c r="M717" s="56"/>
      <c r="N717" s="56"/>
      <c r="O717" s="56">
        <v>0</v>
      </c>
      <c r="P717" s="56"/>
      <c r="Q717" s="56"/>
      <c r="R717" s="56">
        <v>0</v>
      </c>
      <c r="S717" s="56"/>
      <c r="T717" s="56"/>
      <c r="U717" s="57"/>
      <c r="V717" s="56">
        <v>2</v>
      </c>
      <c r="W717" s="56"/>
      <c r="X717" s="56"/>
      <c r="Y717" s="56"/>
      <c r="Z717" s="56"/>
      <c r="AA717" s="89">
        <f>V717+R717+O717+L717</f>
        <v>14</v>
      </c>
      <c r="AB717" s="89"/>
      <c r="AC717" s="89"/>
    </row>
    <row r="718" spans="1:29" ht="20.25" customHeight="1" x14ac:dyDescent="0.3">
      <c r="A718" s="53" t="s">
        <v>70</v>
      </c>
      <c r="B718" s="54"/>
      <c r="C718" s="54"/>
      <c r="D718" s="54"/>
      <c r="E718" s="54"/>
      <c r="F718" s="54"/>
      <c r="G718" s="54"/>
      <c r="H718" s="54"/>
      <c r="I718" s="54"/>
      <c r="J718" s="54"/>
      <c r="K718" s="55"/>
      <c r="L718" s="56">
        <v>0</v>
      </c>
      <c r="M718" s="56"/>
      <c r="N718" s="56"/>
      <c r="O718" s="56">
        <v>0</v>
      </c>
      <c r="P718" s="56"/>
      <c r="Q718" s="56"/>
      <c r="R718" s="56">
        <v>0</v>
      </c>
      <c r="S718" s="56"/>
      <c r="T718" s="56"/>
      <c r="U718" s="57"/>
      <c r="V718" s="56">
        <v>0</v>
      </c>
      <c r="W718" s="56"/>
      <c r="X718" s="56"/>
      <c r="Y718" s="56"/>
      <c r="Z718" s="56"/>
      <c r="AA718" s="89">
        <f>V718+R718+O718+L718</f>
        <v>0</v>
      </c>
      <c r="AB718" s="89"/>
      <c r="AC718" s="89"/>
    </row>
    <row r="719" spans="1:29" ht="21" customHeight="1" x14ac:dyDescent="0.3">
      <c r="A719" s="53" t="s">
        <v>35</v>
      </c>
      <c r="B719" s="54"/>
      <c r="C719" s="54"/>
      <c r="D719" s="54"/>
      <c r="E719" s="54"/>
      <c r="F719" s="54"/>
      <c r="G719" s="54"/>
      <c r="H719" s="54"/>
      <c r="I719" s="54"/>
      <c r="J719" s="54"/>
      <c r="K719" s="55"/>
      <c r="L719" s="56">
        <v>0</v>
      </c>
      <c r="M719" s="56"/>
      <c r="N719" s="56"/>
      <c r="O719" s="56">
        <v>0</v>
      </c>
      <c r="P719" s="56"/>
      <c r="Q719" s="56"/>
      <c r="R719" s="56">
        <v>0</v>
      </c>
      <c r="S719" s="56"/>
      <c r="T719" s="56"/>
      <c r="U719" s="57"/>
      <c r="V719" s="56">
        <v>0</v>
      </c>
      <c r="W719" s="56"/>
      <c r="X719" s="56"/>
      <c r="Y719" s="56"/>
      <c r="Z719" s="56"/>
      <c r="AA719" s="89">
        <f>V719+R719+O719+L719</f>
        <v>0</v>
      </c>
      <c r="AB719" s="89"/>
      <c r="AC719" s="89"/>
    </row>
    <row r="720" spans="1:29" ht="4.5" customHeight="1" x14ac:dyDescent="0.25"/>
    <row r="721" spans="1:36" ht="12.75" customHeight="1" x14ac:dyDescent="0.25">
      <c r="A721" s="95" t="s">
        <v>36</v>
      </c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</row>
    <row r="722" spans="1:36" ht="12.75" customHeight="1" x14ac:dyDescent="0.25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</row>
    <row r="723" spans="1:36" ht="0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36" ht="17.25" customHeight="1" x14ac:dyDescent="0.25">
      <c r="J724" s="96" t="s">
        <v>9</v>
      </c>
      <c r="K724" s="97"/>
      <c r="L724" s="98" t="s">
        <v>10</v>
      </c>
      <c r="M724" s="94"/>
      <c r="N724" s="94" t="s">
        <v>3</v>
      </c>
      <c r="O724" s="94"/>
      <c r="P724" s="94" t="s">
        <v>4</v>
      </c>
      <c r="Q724" s="94"/>
      <c r="R724" s="94" t="s">
        <v>5</v>
      </c>
      <c r="S724" s="94"/>
      <c r="T724" s="94" t="s">
        <v>6</v>
      </c>
      <c r="U724" s="94"/>
      <c r="V724" s="94" t="s">
        <v>7</v>
      </c>
      <c r="W724" s="94"/>
      <c r="X724" s="94" t="s">
        <v>11</v>
      </c>
      <c r="Y724" s="94"/>
      <c r="Z724" s="99" t="s">
        <v>49</v>
      </c>
      <c r="AA724" s="99"/>
      <c r="AB724" s="94" t="s">
        <v>0</v>
      </c>
      <c r="AC724" s="94"/>
    </row>
    <row r="725" spans="1:36" ht="17.25" customHeight="1" x14ac:dyDescent="0.25">
      <c r="J725" s="2" t="s">
        <v>1</v>
      </c>
      <c r="K725" s="2" t="s">
        <v>2</v>
      </c>
      <c r="L725" s="2" t="s">
        <v>1</v>
      </c>
      <c r="M725" s="2" t="s">
        <v>2</v>
      </c>
      <c r="N725" s="2" t="s">
        <v>1</v>
      </c>
      <c r="O725" s="2" t="s">
        <v>2</v>
      </c>
      <c r="P725" s="2" t="s">
        <v>1</v>
      </c>
      <c r="Q725" s="2" t="s">
        <v>2</v>
      </c>
      <c r="R725" s="2" t="s">
        <v>1</v>
      </c>
      <c r="S725" s="2" t="s">
        <v>2</v>
      </c>
      <c r="T725" s="2" t="s">
        <v>1</v>
      </c>
      <c r="U725" s="2" t="s">
        <v>2</v>
      </c>
      <c r="V725" s="2" t="s">
        <v>1</v>
      </c>
      <c r="W725" s="2" t="s">
        <v>2</v>
      </c>
      <c r="X725" s="2" t="s">
        <v>1</v>
      </c>
      <c r="Y725" s="2" t="s">
        <v>2</v>
      </c>
      <c r="Z725" s="17" t="s">
        <v>1</v>
      </c>
      <c r="AA725" s="17" t="s">
        <v>2</v>
      </c>
      <c r="AB725" s="94"/>
      <c r="AC725" s="94"/>
    </row>
    <row r="726" spans="1:36" ht="18.75" customHeight="1" x14ac:dyDescent="0.25">
      <c r="A726" s="90" t="s">
        <v>71</v>
      </c>
      <c r="B726" s="91"/>
      <c r="C726" s="91"/>
      <c r="D726" s="91"/>
      <c r="E726" s="91"/>
      <c r="F726" s="91"/>
      <c r="G726" s="91"/>
      <c r="H726" s="91"/>
      <c r="I726" s="92"/>
      <c r="J726" s="14">
        <v>0</v>
      </c>
      <c r="K726" s="14">
        <v>0</v>
      </c>
      <c r="L726" s="14">
        <v>0</v>
      </c>
      <c r="M726" s="14">
        <v>0</v>
      </c>
      <c r="N726" s="14">
        <v>1</v>
      </c>
      <c r="O726" s="14">
        <v>0</v>
      </c>
      <c r="P726" s="14">
        <v>3</v>
      </c>
      <c r="Q726" s="14">
        <v>0</v>
      </c>
      <c r="R726" s="14">
        <v>2</v>
      </c>
      <c r="S726" s="14">
        <v>0</v>
      </c>
      <c r="T726" s="14">
        <v>0</v>
      </c>
      <c r="U726" s="14">
        <v>0</v>
      </c>
      <c r="V726" s="14">
        <v>2</v>
      </c>
      <c r="W726" s="14">
        <v>1</v>
      </c>
      <c r="X726" s="14">
        <v>0</v>
      </c>
      <c r="Y726" s="14">
        <v>1</v>
      </c>
      <c r="Z726" s="18">
        <f>X726+V726+T726+R726+P726+N726+L726+J726</f>
        <v>8</v>
      </c>
      <c r="AA726" s="18">
        <f>Y726+W726+U726+S726+Q726+O726+M726+K726</f>
        <v>2</v>
      </c>
      <c r="AB726" s="93">
        <f t="shared" ref="AB726:AB731" si="30">AA726+Z726</f>
        <v>10</v>
      </c>
      <c r="AC726" s="93"/>
    </row>
    <row r="727" spans="1:36" ht="18.75" customHeight="1" x14ac:dyDescent="0.25">
      <c r="A727" s="53" t="s">
        <v>37</v>
      </c>
      <c r="B727" s="54"/>
      <c r="C727" s="54"/>
      <c r="D727" s="54"/>
      <c r="E727" s="54"/>
      <c r="F727" s="54"/>
      <c r="G727" s="54"/>
      <c r="H727" s="54"/>
      <c r="I727" s="55"/>
      <c r="J727" s="29">
        <v>0</v>
      </c>
      <c r="K727" s="29">
        <v>0</v>
      </c>
      <c r="L727" s="29">
        <v>1</v>
      </c>
      <c r="M727" s="29">
        <v>1</v>
      </c>
      <c r="N727" s="29">
        <v>1</v>
      </c>
      <c r="O727" s="29">
        <v>1</v>
      </c>
      <c r="P727" s="29">
        <v>2</v>
      </c>
      <c r="Q727" s="29">
        <v>0</v>
      </c>
      <c r="R727" s="29">
        <v>0</v>
      </c>
      <c r="S727" s="29">
        <v>1</v>
      </c>
      <c r="T727" s="29">
        <v>0</v>
      </c>
      <c r="U727" s="29">
        <v>0</v>
      </c>
      <c r="V727" s="29">
        <v>2</v>
      </c>
      <c r="W727" s="29">
        <v>1</v>
      </c>
      <c r="X727" s="29">
        <v>1</v>
      </c>
      <c r="Y727" s="29">
        <v>1</v>
      </c>
      <c r="Z727" s="18">
        <f t="shared" ref="Z727:AA731" si="31">X727+V727+T727+R727+P727+N727+L727+J727</f>
        <v>7</v>
      </c>
      <c r="AA727" s="18">
        <f t="shared" si="31"/>
        <v>5</v>
      </c>
      <c r="AB727" s="93">
        <f t="shared" si="30"/>
        <v>12</v>
      </c>
      <c r="AC727" s="93"/>
    </row>
    <row r="728" spans="1:36" ht="24" customHeight="1" x14ac:dyDescent="0.25">
      <c r="A728" s="90" t="s">
        <v>72</v>
      </c>
      <c r="B728" s="91"/>
      <c r="C728" s="91"/>
      <c r="D728" s="91"/>
      <c r="E728" s="91"/>
      <c r="F728" s="91"/>
      <c r="G728" s="91"/>
      <c r="H728" s="91"/>
      <c r="I728" s="92"/>
      <c r="J728" s="29">
        <v>0</v>
      </c>
      <c r="K728" s="29">
        <v>0</v>
      </c>
      <c r="L728" s="29">
        <v>0</v>
      </c>
      <c r="M728" s="29">
        <v>0</v>
      </c>
      <c r="N728" s="29">
        <v>0</v>
      </c>
      <c r="O728" s="29">
        <v>0</v>
      </c>
      <c r="P728" s="29">
        <v>0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</v>
      </c>
      <c r="Y728" s="29">
        <v>0</v>
      </c>
      <c r="Z728" s="18">
        <f t="shared" si="31"/>
        <v>0</v>
      </c>
      <c r="AA728" s="18">
        <f t="shared" si="31"/>
        <v>0</v>
      </c>
      <c r="AB728" s="93">
        <f t="shared" si="30"/>
        <v>0</v>
      </c>
      <c r="AC728" s="93"/>
    </row>
    <row r="729" spans="1:36" ht="18.75" customHeight="1" x14ac:dyDescent="0.25">
      <c r="A729" s="90" t="s">
        <v>38</v>
      </c>
      <c r="B729" s="91"/>
      <c r="C729" s="91"/>
      <c r="D729" s="91"/>
      <c r="E729" s="91"/>
      <c r="F729" s="91"/>
      <c r="G729" s="91"/>
      <c r="H729" s="91"/>
      <c r="I729" s="92"/>
      <c r="J729" s="29">
        <v>0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</v>
      </c>
      <c r="Y729" s="29">
        <v>0</v>
      </c>
      <c r="Z729" s="18">
        <f t="shared" si="31"/>
        <v>0</v>
      </c>
      <c r="AA729" s="18">
        <f t="shared" si="31"/>
        <v>0</v>
      </c>
      <c r="AB729" s="93">
        <f t="shared" si="30"/>
        <v>0</v>
      </c>
      <c r="AC729" s="93"/>
    </row>
    <row r="730" spans="1:36" ht="18.75" customHeight="1" x14ac:dyDescent="0.25">
      <c r="A730" s="90" t="s">
        <v>39</v>
      </c>
      <c r="B730" s="91"/>
      <c r="C730" s="91"/>
      <c r="D730" s="91"/>
      <c r="E730" s="91"/>
      <c r="F730" s="91"/>
      <c r="G730" s="91"/>
      <c r="H730" s="91"/>
      <c r="I730" s="92"/>
      <c r="J730" s="29">
        <v>0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  <c r="P730" s="29">
        <v>0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0</v>
      </c>
      <c r="X730" s="29">
        <v>0</v>
      </c>
      <c r="Y730" s="29">
        <v>0</v>
      </c>
      <c r="Z730" s="18">
        <f t="shared" si="31"/>
        <v>0</v>
      </c>
      <c r="AA730" s="18">
        <f t="shared" si="31"/>
        <v>0</v>
      </c>
      <c r="AB730" s="93">
        <f t="shared" si="30"/>
        <v>0</v>
      </c>
      <c r="AC730" s="93"/>
    </row>
    <row r="731" spans="1:36" ht="18.75" customHeight="1" x14ac:dyDescent="0.25">
      <c r="A731" s="90" t="s">
        <v>17</v>
      </c>
      <c r="B731" s="91"/>
      <c r="C731" s="91"/>
      <c r="D731" s="91"/>
      <c r="E731" s="91"/>
      <c r="F731" s="91"/>
      <c r="G731" s="91"/>
      <c r="H731" s="91"/>
      <c r="I731" s="92"/>
      <c r="J731" s="29">
        <v>0</v>
      </c>
      <c r="K731" s="29">
        <v>0</v>
      </c>
      <c r="L731" s="29">
        <v>0</v>
      </c>
      <c r="M731" s="29">
        <v>0</v>
      </c>
      <c r="N731" s="29">
        <v>0</v>
      </c>
      <c r="O731" s="29">
        <v>0</v>
      </c>
      <c r="P731" s="29">
        <v>1</v>
      </c>
      <c r="Q731" s="29">
        <v>0</v>
      </c>
      <c r="R731" s="29">
        <v>0</v>
      </c>
      <c r="S731" s="29">
        <v>0</v>
      </c>
      <c r="T731" s="29">
        <v>0</v>
      </c>
      <c r="U731" s="29">
        <v>0</v>
      </c>
      <c r="V731" s="29">
        <v>0</v>
      </c>
      <c r="W731" s="29">
        <v>0</v>
      </c>
      <c r="X731" s="29">
        <v>1</v>
      </c>
      <c r="Y731" s="29">
        <v>0</v>
      </c>
      <c r="Z731" s="18">
        <f t="shared" si="31"/>
        <v>2</v>
      </c>
      <c r="AA731" s="18">
        <f t="shared" si="31"/>
        <v>0</v>
      </c>
      <c r="AB731" s="93">
        <f t="shared" si="30"/>
        <v>2</v>
      </c>
      <c r="AC731" s="93"/>
    </row>
    <row r="732" spans="1:36" ht="9" customHeight="1" x14ac:dyDescent="0.25"/>
    <row r="733" spans="1:36" ht="1.5" hidden="1" customHeight="1" x14ac:dyDescent="0.25"/>
    <row r="734" spans="1:36" ht="15.75" x14ac:dyDescent="0.25">
      <c r="A734" s="4" t="s">
        <v>73</v>
      </c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N734" s="4" t="s">
        <v>20</v>
      </c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36" ht="15" customHeight="1" x14ac:dyDescent="0.25">
      <c r="A735" s="123" t="s">
        <v>74</v>
      </c>
      <c r="B735" s="123"/>
      <c r="C735" s="123"/>
      <c r="D735" s="123"/>
      <c r="E735" s="50" t="s">
        <v>75</v>
      </c>
      <c r="F735" s="50"/>
      <c r="G735" s="50"/>
      <c r="H735" s="50"/>
      <c r="I735" s="50" t="s">
        <v>76</v>
      </c>
      <c r="J735" s="50"/>
      <c r="K735" s="50"/>
      <c r="L735" s="50"/>
      <c r="M735" s="9"/>
      <c r="N735" s="124" t="s">
        <v>77</v>
      </c>
      <c r="O735" s="125"/>
      <c r="P735" s="125"/>
      <c r="Q735" s="125"/>
      <c r="R735" s="125"/>
      <c r="S735" s="126"/>
      <c r="T735" s="50" t="s">
        <v>21</v>
      </c>
      <c r="U735" s="50"/>
      <c r="V735" s="50" t="s">
        <v>22</v>
      </c>
      <c r="W735" s="50"/>
      <c r="X735" s="50"/>
      <c r="Y735" s="50"/>
      <c r="Z735" s="50"/>
      <c r="AA735" s="50" t="s">
        <v>23</v>
      </c>
      <c r="AB735" s="50"/>
      <c r="AC735" s="50"/>
      <c r="AD735" s="10"/>
      <c r="AE735" s="3"/>
      <c r="AG735" s="9"/>
      <c r="AH735" s="9"/>
      <c r="AI735" s="9"/>
      <c r="AJ735" s="9"/>
    </row>
    <row r="736" spans="1:36" ht="51" customHeight="1" x14ac:dyDescent="0.25">
      <c r="A736" s="123"/>
      <c r="B736" s="123"/>
      <c r="C736" s="123"/>
      <c r="D736" s="123"/>
      <c r="E736" s="50"/>
      <c r="F736" s="50"/>
      <c r="G736" s="50"/>
      <c r="H736" s="50"/>
      <c r="I736" s="50"/>
      <c r="J736" s="50"/>
      <c r="K736" s="50"/>
      <c r="L736" s="50"/>
      <c r="M736" s="20"/>
      <c r="N736" s="101"/>
      <c r="O736" s="102"/>
      <c r="P736" s="102"/>
      <c r="Q736" s="102"/>
      <c r="R736" s="102"/>
      <c r="S736" s="127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10"/>
      <c r="AE736" s="3"/>
      <c r="AG736" s="21"/>
      <c r="AH736" s="21"/>
      <c r="AI736" s="21"/>
      <c r="AJ736" s="9"/>
    </row>
    <row r="737" spans="1:40" ht="48.75" customHeight="1" x14ac:dyDescent="0.25">
      <c r="A737" s="50" t="s">
        <v>78</v>
      </c>
      <c r="B737" s="50"/>
      <c r="C737" s="52" t="s">
        <v>79</v>
      </c>
      <c r="D737" s="116"/>
      <c r="E737" s="50" t="s">
        <v>78</v>
      </c>
      <c r="F737" s="50"/>
      <c r="G737" s="50" t="s">
        <v>79</v>
      </c>
      <c r="H737" s="50"/>
      <c r="I737" s="117" t="s">
        <v>80</v>
      </c>
      <c r="J737" s="117"/>
      <c r="K737" s="50" t="s">
        <v>81</v>
      </c>
      <c r="L737" s="50"/>
      <c r="M737" s="20"/>
      <c r="N737" s="118" t="s">
        <v>82</v>
      </c>
      <c r="O737" s="119"/>
      <c r="P737" s="120"/>
      <c r="Q737" s="121" t="s">
        <v>83</v>
      </c>
      <c r="R737" s="122"/>
      <c r="S737" s="122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10"/>
      <c r="AE737" s="22"/>
      <c r="AG737" s="21"/>
      <c r="AH737" s="21"/>
      <c r="AI737" s="21"/>
      <c r="AJ737" s="9"/>
    </row>
    <row r="738" spans="1:40" ht="21.75" customHeight="1" x14ac:dyDescent="0.25">
      <c r="A738" s="56">
        <v>0</v>
      </c>
      <c r="B738" s="56"/>
      <c r="C738" s="139">
        <v>325</v>
      </c>
      <c r="D738" s="140"/>
      <c r="E738" s="50">
        <v>0</v>
      </c>
      <c r="F738" s="50"/>
      <c r="G738" s="50">
        <v>10</v>
      </c>
      <c r="H738" s="50"/>
      <c r="I738" s="134">
        <v>0</v>
      </c>
      <c r="J738" s="134"/>
      <c r="K738" s="134">
        <v>0</v>
      </c>
      <c r="L738" s="134"/>
      <c r="M738" s="20"/>
      <c r="N738" s="100">
        <v>24</v>
      </c>
      <c r="O738" s="100"/>
      <c r="P738" s="100"/>
      <c r="Q738" s="101">
        <v>20</v>
      </c>
      <c r="R738" s="102"/>
      <c r="S738" s="102"/>
      <c r="T738" s="103">
        <v>0</v>
      </c>
      <c r="U738" s="103"/>
      <c r="V738" s="103">
        <v>0</v>
      </c>
      <c r="W738" s="103"/>
      <c r="X738" s="103"/>
      <c r="Y738" s="103"/>
      <c r="Z738" s="103"/>
      <c r="AA738" s="104">
        <v>0</v>
      </c>
      <c r="AB738" s="104"/>
      <c r="AC738" s="104"/>
      <c r="AD738" s="22"/>
      <c r="AE738" s="23"/>
      <c r="AG738" s="9"/>
      <c r="AH738" s="9"/>
      <c r="AI738" s="9"/>
      <c r="AJ738" s="9"/>
    </row>
    <row r="739" spans="1:40" ht="6" customHeight="1" x14ac:dyDescent="0.25">
      <c r="L739" s="24"/>
      <c r="AG739" s="9"/>
      <c r="AH739" s="9"/>
      <c r="AI739" s="9"/>
      <c r="AJ739" s="9"/>
    </row>
    <row r="740" spans="1:40" ht="15.75" x14ac:dyDescent="0.25">
      <c r="A740" s="4" t="s">
        <v>24</v>
      </c>
      <c r="B740" s="19"/>
      <c r="C740" s="19"/>
      <c r="D740" s="19"/>
      <c r="E740" s="19"/>
      <c r="M740" s="19"/>
      <c r="N740" s="4" t="s">
        <v>25</v>
      </c>
      <c r="O740" s="19"/>
      <c r="AG740" s="9"/>
      <c r="AH740" s="9"/>
      <c r="AI740" s="9"/>
      <c r="AJ740" s="9"/>
    </row>
    <row r="741" spans="1:40" ht="15" customHeight="1" x14ac:dyDescent="0.25">
      <c r="A741" s="50" t="s">
        <v>26</v>
      </c>
      <c r="B741" s="50"/>
      <c r="C741" s="50"/>
      <c r="D741" s="50"/>
      <c r="E741" s="50"/>
      <c r="F741" s="105" t="s">
        <v>27</v>
      </c>
      <c r="G741" s="106"/>
      <c r="H741" s="106"/>
      <c r="I741" s="106"/>
      <c r="J741" s="106"/>
      <c r="K741" s="106"/>
      <c r="L741" s="107"/>
      <c r="M741" s="24"/>
      <c r="N741" s="50" t="s">
        <v>84</v>
      </c>
      <c r="O741" s="50"/>
      <c r="P741" s="50"/>
      <c r="Q741" s="50"/>
      <c r="R741" s="105" t="s">
        <v>28</v>
      </c>
      <c r="S741" s="106"/>
      <c r="T741" s="106"/>
      <c r="U741" s="107"/>
      <c r="V741" s="50" t="s">
        <v>29</v>
      </c>
      <c r="W741" s="50"/>
      <c r="X741" s="50"/>
      <c r="Y741" s="50"/>
      <c r="Z741" s="50"/>
      <c r="AA741" s="106" t="s">
        <v>85</v>
      </c>
      <c r="AB741" s="106"/>
      <c r="AC741" s="107"/>
    </row>
    <row r="742" spans="1:40" x14ac:dyDescent="0.25">
      <c r="A742" s="50"/>
      <c r="B742" s="50"/>
      <c r="C742" s="50"/>
      <c r="D742" s="50"/>
      <c r="E742" s="50"/>
      <c r="F742" s="108"/>
      <c r="G742" s="109"/>
      <c r="H742" s="109"/>
      <c r="I742" s="109"/>
      <c r="J742" s="109"/>
      <c r="K742" s="109"/>
      <c r="L742" s="110"/>
      <c r="M742" s="24"/>
      <c r="N742" s="50"/>
      <c r="O742" s="50"/>
      <c r="P742" s="50"/>
      <c r="Q742" s="50"/>
      <c r="R742" s="108"/>
      <c r="S742" s="109"/>
      <c r="T742" s="109"/>
      <c r="U742" s="110"/>
      <c r="V742" s="50"/>
      <c r="W742" s="50"/>
      <c r="X742" s="50"/>
      <c r="Y742" s="50"/>
      <c r="Z742" s="50"/>
      <c r="AA742" s="109"/>
      <c r="AB742" s="109"/>
      <c r="AC742" s="110"/>
    </row>
    <row r="743" spans="1:40" x14ac:dyDescent="0.25">
      <c r="A743" s="50"/>
      <c r="B743" s="50"/>
      <c r="C743" s="50"/>
      <c r="D743" s="50"/>
      <c r="E743" s="50"/>
      <c r="F743" s="111"/>
      <c r="G743" s="112"/>
      <c r="H743" s="112"/>
      <c r="I743" s="112"/>
      <c r="J743" s="112"/>
      <c r="K743" s="112"/>
      <c r="L743" s="113"/>
      <c r="M743" s="24"/>
      <c r="N743" s="50"/>
      <c r="O743" s="50"/>
      <c r="P743" s="50"/>
      <c r="Q743" s="50"/>
      <c r="R743" s="111"/>
      <c r="S743" s="112"/>
      <c r="T743" s="112"/>
      <c r="U743" s="113"/>
      <c r="V743" s="50"/>
      <c r="W743" s="50"/>
      <c r="X743" s="50"/>
      <c r="Y743" s="50"/>
      <c r="Z743" s="50"/>
      <c r="AA743" s="112"/>
      <c r="AB743" s="112"/>
      <c r="AC743" s="113"/>
    </row>
    <row r="744" spans="1:40" ht="21.75" customHeight="1" x14ac:dyDescent="0.25">
      <c r="A744" s="50">
        <v>17</v>
      </c>
      <c r="B744" s="50"/>
      <c r="C744" s="50"/>
      <c r="D744" s="50"/>
      <c r="E744" s="50"/>
      <c r="F744" s="111">
        <v>3</v>
      </c>
      <c r="G744" s="112"/>
      <c r="H744" s="112"/>
      <c r="I744" s="112"/>
      <c r="J744" s="112"/>
      <c r="K744" s="112"/>
      <c r="L744" s="113"/>
      <c r="M744" s="24"/>
      <c r="N744" s="50">
        <v>0</v>
      </c>
      <c r="O744" s="50"/>
      <c r="P744" s="50"/>
      <c r="Q744" s="50"/>
      <c r="R744" s="111">
        <v>4</v>
      </c>
      <c r="S744" s="112"/>
      <c r="T744" s="112"/>
      <c r="U744" s="113"/>
      <c r="V744" s="50">
        <v>10</v>
      </c>
      <c r="W744" s="50"/>
      <c r="X744" s="50"/>
      <c r="Y744" s="50"/>
      <c r="Z744" s="50"/>
      <c r="AA744" s="135">
        <v>2</v>
      </c>
      <c r="AB744" s="135"/>
      <c r="AC744" s="136"/>
    </row>
    <row r="745" spans="1:40" x14ac:dyDescent="0.25">
      <c r="A745" s="16"/>
      <c r="B745" s="16" t="s">
        <v>86</v>
      </c>
      <c r="C745" s="7" t="s">
        <v>87</v>
      </c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40" x14ac:dyDescent="0.25">
      <c r="A746" s="16"/>
      <c r="B746" s="16" t="s">
        <v>12</v>
      </c>
      <c r="C746" s="7" t="s">
        <v>88</v>
      </c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40" x14ac:dyDescent="0.25">
      <c r="A747" s="128"/>
      <c r="B747" s="16" t="s">
        <v>13</v>
      </c>
      <c r="C747" s="7" t="s">
        <v>89</v>
      </c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40" ht="15" customHeight="1" x14ac:dyDescent="0.25">
      <c r="A748" s="128"/>
      <c r="B748" s="128" t="s">
        <v>14</v>
      </c>
      <c r="C748" s="137" t="s">
        <v>90</v>
      </c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27"/>
      <c r="AN748" s="15">
        <f ca="1">AN748:AO748</f>
        <v>0</v>
      </c>
    </row>
    <row r="749" spans="1:40" x14ac:dyDescent="0.25">
      <c r="B749" s="128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27"/>
    </row>
    <row r="750" spans="1:40" ht="12.75" customHeight="1" x14ac:dyDescent="0.25">
      <c r="M750" s="129" t="s">
        <v>19</v>
      </c>
      <c r="N750" s="129"/>
      <c r="O750" s="129"/>
      <c r="P750" s="129"/>
      <c r="Q750" s="129"/>
      <c r="R750" s="129"/>
      <c r="S750" s="11"/>
    </row>
    <row r="751" spans="1:40" x14ac:dyDescent="0.25">
      <c r="L751" s="12"/>
      <c r="M751" s="12"/>
      <c r="N751" s="12"/>
      <c r="O751" s="12"/>
      <c r="P751" s="13"/>
      <c r="R751" s="11"/>
      <c r="S751" s="11"/>
    </row>
    <row r="752" spans="1:40" x14ac:dyDescent="0.25">
      <c r="L752" s="9"/>
      <c r="R752" s="25"/>
      <c r="S752" s="25"/>
      <c r="T752" s="9"/>
      <c r="U752" s="9"/>
      <c r="V752" s="9"/>
      <c r="W752" s="9"/>
      <c r="X752" s="9"/>
      <c r="Y752" s="9"/>
      <c r="Z752" s="9"/>
    </row>
    <row r="753" spans="1:29" ht="15.75" x14ac:dyDescent="0.25">
      <c r="L753" s="25"/>
      <c r="M753" s="130" t="s">
        <v>97</v>
      </c>
      <c r="N753" s="130"/>
      <c r="O753" s="130"/>
      <c r="P753" s="130"/>
      <c r="Q753" s="130"/>
      <c r="R753" s="130"/>
      <c r="S753" s="25"/>
      <c r="T753" s="9"/>
      <c r="U753" s="9"/>
      <c r="V753" s="9"/>
      <c r="W753" s="9"/>
      <c r="X753" s="9"/>
      <c r="Y753" s="9"/>
      <c r="Z753" s="9"/>
    </row>
    <row r="754" spans="1:29" ht="15.75" x14ac:dyDescent="0.25">
      <c r="L754" s="25"/>
      <c r="M754" s="131" t="s">
        <v>98</v>
      </c>
      <c r="N754" s="131"/>
      <c r="O754" s="131"/>
      <c r="P754" s="131"/>
      <c r="Q754" s="131"/>
      <c r="R754" s="131"/>
      <c r="S754" s="25"/>
      <c r="T754" s="9"/>
      <c r="U754" s="9"/>
      <c r="V754" s="9"/>
      <c r="W754" s="9"/>
      <c r="X754" s="9"/>
      <c r="Y754" s="9"/>
      <c r="Z754" s="9"/>
    </row>
    <row r="756" spans="1:29" ht="12.75" customHeight="1" x14ac:dyDescent="0.25"/>
    <row r="757" spans="1:29" ht="12.75" customHeight="1" x14ac:dyDescent="0.25"/>
    <row r="758" spans="1:29" ht="12.75" customHeight="1" x14ac:dyDescent="0.25">
      <c r="A758" s="34" t="s">
        <v>41</v>
      </c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spans="1:29" ht="12" customHeight="1" x14ac:dyDescent="0.25">
      <c r="A759" s="35" t="s">
        <v>30</v>
      </c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</row>
    <row r="760" spans="1:29" ht="12" customHeight="1" x14ac:dyDescent="0.25">
      <c r="A760" s="35" t="s">
        <v>46</v>
      </c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</row>
    <row r="761" spans="1:29" ht="12" customHeight="1" x14ac:dyDescent="0.25">
      <c r="A761" s="36" t="s">
        <v>62</v>
      </c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</row>
    <row r="762" spans="1:29" ht="12" customHeight="1" x14ac:dyDescent="0.25">
      <c r="A762" s="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5">
      <c r="A763" s="37" t="s">
        <v>63</v>
      </c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 spans="1:29" ht="6" customHeight="1" x14ac:dyDescent="0.25"/>
    <row r="765" spans="1:29" ht="12.75" customHeight="1" x14ac:dyDescent="0.25">
      <c r="A765" s="38" t="s">
        <v>64</v>
      </c>
      <c r="B765" s="39"/>
      <c r="C765" s="39"/>
      <c r="D765" s="39"/>
      <c r="E765" s="39"/>
      <c r="F765" s="39"/>
      <c r="G765" s="39"/>
      <c r="H765" s="40"/>
      <c r="I765" s="38" t="s">
        <v>65</v>
      </c>
      <c r="J765" s="39"/>
      <c r="K765" s="39"/>
      <c r="L765" s="39"/>
      <c r="M765" s="39"/>
      <c r="N765" s="39"/>
      <c r="O765" s="39"/>
      <c r="P765" s="39"/>
      <c r="Q765" s="40"/>
      <c r="R765" s="38" t="s">
        <v>18</v>
      </c>
      <c r="S765" s="39"/>
      <c r="T765" s="39"/>
      <c r="U765" s="40"/>
      <c r="V765" s="41" t="s">
        <v>66</v>
      </c>
      <c r="W765" s="42"/>
      <c r="X765" s="42"/>
      <c r="Y765" s="42"/>
      <c r="Z765" s="42"/>
      <c r="AA765" s="42"/>
      <c r="AB765" s="42"/>
      <c r="AC765" s="43"/>
    </row>
    <row r="766" spans="1:29" ht="12.75" customHeight="1" x14ac:dyDescent="0.25">
      <c r="A766" s="47" t="s">
        <v>40</v>
      </c>
      <c r="B766" s="48"/>
      <c r="C766" s="48"/>
      <c r="D766" s="48"/>
      <c r="E766" s="48"/>
      <c r="F766" s="48"/>
      <c r="G766" s="48"/>
      <c r="H766" s="49"/>
      <c r="I766" s="47" t="s">
        <v>61</v>
      </c>
      <c r="J766" s="48"/>
      <c r="K766" s="48"/>
      <c r="L766" s="48"/>
      <c r="M766" s="48"/>
      <c r="N766" s="48"/>
      <c r="O766" s="48"/>
      <c r="P766" s="48"/>
      <c r="Q766" s="49"/>
      <c r="R766" s="58">
        <v>2025</v>
      </c>
      <c r="S766" s="59"/>
      <c r="T766" s="59"/>
      <c r="U766" s="60"/>
      <c r="V766" s="44"/>
      <c r="W766" s="45"/>
      <c r="X766" s="45"/>
      <c r="Y766" s="45"/>
      <c r="Z766" s="45"/>
      <c r="AA766" s="45"/>
      <c r="AB766" s="45"/>
      <c r="AC766" s="46"/>
    </row>
    <row r="767" spans="1:29" ht="12.75" customHeight="1" x14ac:dyDescent="0.25">
      <c r="A767" s="61" t="s">
        <v>67</v>
      </c>
      <c r="B767" s="62"/>
      <c r="C767" s="62"/>
      <c r="D767" s="62"/>
      <c r="E767" s="62"/>
      <c r="F767" s="62"/>
      <c r="G767" s="62"/>
      <c r="H767" s="63"/>
      <c r="I767" s="38" t="s">
        <v>68</v>
      </c>
      <c r="J767" s="39"/>
      <c r="K767" s="39"/>
      <c r="L767" s="39"/>
      <c r="M767" s="39"/>
      <c r="N767" s="39"/>
      <c r="O767" s="39"/>
      <c r="P767" s="39"/>
      <c r="Q767" s="40"/>
      <c r="R767" s="64" t="s">
        <v>47</v>
      </c>
      <c r="S767" s="39"/>
      <c r="T767" s="39"/>
      <c r="U767" s="40"/>
      <c r="V767" s="65"/>
      <c r="W767" s="66"/>
      <c r="X767" s="66"/>
      <c r="Y767" s="66"/>
      <c r="Z767" s="66"/>
      <c r="AA767" s="66"/>
      <c r="AB767" s="66"/>
      <c r="AC767" s="67"/>
    </row>
    <row r="768" spans="1:29" ht="12.75" customHeight="1" x14ac:dyDescent="0.25">
      <c r="A768" s="71" t="s">
        <v>61</v>
      </c>
      <c r="B768" s="72"/>
      <c r="C768" s="72"/>
      <c r="D768" s="72"/>
      <c r="E768" s="72"/>
      <c r="F768" s="72"/>
      <c r="G768" s="72"/>
      <c r="H768" s="73"/>
      <c r="I768" s="77" t="s">
        <v>60</v>
      </c>
      <c r="J768" s="78"/>
      <c r="K768" s="78"/>
      <c r="L768" s="78"/>
      <c r="M768" s="78"/>
      <c r="N768" s="78"/>
      <c r="O768" s="78"/>
      <c r="P768" s="78"/>
      <c r="Q768" s="79"/>
      <c r="R768" s="83" t="s">
        <v>58</v>
      </c>
      <c r="S768" s="84"/>
      <c r="T768" s="84"/>
      <c r="U768" s="85"/>
      <c r="V768" s="65"/>
      <c r="W768" s="66"/>
      <c r="X768" s="66"/>
      <c r="Y768" s="66"/>
      <c r="Z768" s="66"/>
      <c r="AA768" s="66"/>
      <c r="AB768" s="66"/>
      <c r="AC768" s="67"/>
    </row>
    <row r="769" spans="1:29" ht="6.75" customHeight="1" x14ac:dyDescent="0.25">
      <c r="A769" s="74"/>
      <c r="B769" s="75"/>
      <c r="C769" s="75"/>
      <c r="D769" s="75"/>
      <c r="E769" s="75"/>
      <c r="F769" s="75"/>
      <c r="G769" s="75"/>
      <c r="H769" s="76"/>
      <c r="I769" s="80"/>
      <c r="J769" s="81"/>
      <c r="K769" s="81"/>
      <c r="L769" s="81"/>
      <c r="M769" s="81"/>
      <c r="N769" s="81"/>
      <c r="O769" s="81"/>
      <c r="P769" s="81"/>
      <c r="Q769" s="82"/>
      <c r="R769" s="86"/>
      <c r="S769" s="87"/>
      <c r="T769" s="87"/>
      <c r="U769" s="88"/>
      <c r="V769" s="68"/>
      <c r="W769" s="69"/>
      <c r="X769" s="69"/>
      <c r="Y769" s="69"/>
      <c r="Z769" s="69"/>
      <c r="AA769" s="69"/>
      <c r="AB769" s="69"/>
      <c r="AC769" s="70"/>
    </row>
    <row r="770" spans="1:29" ht="10.5" customHeight="1" x14ac:dyDescent="0.25"/>
    <row r="771" spans="1:29" ht="12" customHeight="1" x14ac:dyDescent="0.25">
      <c r="A771" s="4" t="s">
        <v>31</v>
      </c>
    </row>
    <row r="772" spans="1:29" ht="12.75" customHeight="1" x14ac:dyDescent="0.25">
      <c r="L772" s="50" t="s">
        <v>15</v>
      </c>
      <c r="M772" s="50"/>
      <c r="N772" s="50"/>
      <c r="O772" s="51" t="s">
        <v>16</v>
      </c>
      <c r="P772" s="51"/>
      <c r="Q772" s="51"/>
      <c r="R772" s="50" t="s">
        <v>32</v>
      </c>
      <c r="S772" s="50"/>
      <c r="T772" s="50"/>
      <c r="U772" s="52"/>
      <c r="V772" s="51" t="s">
        <v>33</v>
      </c>
      <c r="W772" s="51"/>
      <c r="X772" s="51"/>
      <c r="Y772" s="51"/>
      <c r="Z772" s="51"/>
      <c r="AA772" s="51" t="s">
        <v>0</v>
      </c>
      <c r="AB772" s="51"/>
      <c r="AC772" s="51"/>
    </row>
    <row r="773" spans="1:29" ht="12.75" customHeight="1" x14ac:dyDescent="0.25">
      <c r="L773" s="50"/>
      <c r="M773" s="50"/>
      <c r="N773" s="50"/>
      <c r="O773" s="51"/>
      <c r="P773" s="51"/>
      <c r="Q773" s="51"/>
      <c r="R773" s="50"/>
      <c r="S773" s="50"/>
      <c r="T773" s="50"/>
      <c r="U773" s="52"/>
      <c r="V773" s="51"/>
      <c r="W773" s="51"/>
      <c r="X773" s="51"/>
      <c r="Y773" s="51"/>
      <c r="Z773" s="51"/>
      <c r="AA773" s="51"/>
      <c r="AB773" s="51"/>
      <c r="AC773" s="51"/>
    </row>
    <row r="774" spans="1:29" ht="20.25" customHeight="1" x14ac:dyDescent="0.3">
      <c r="A774" s="53" t="s">
        <v>69</v>
      </c>
      <c r="B774" s="54"/>
      <c r="C774" s="54"/>
      <c r="D774" s="54"/>
      <c r="E774" s="54"/>
      <c r="F774" s="54"/>
      <c r="G774" s="54"/>
      <c r="H774" s="54"/>
      <c r="I774" s="54"/>
      <c r="J774" s="54"/>
      <c r="K774" s="55"/>
      <c r="L774" s="56">
        <v>27</v>
      </c>
      <c r="M774" s="56"/>
      <c r="N774" s="56"/>
      <c r="O774" s="56">
        <v>5</v>
      </c>
      <c r="P774" s="56"/>
      <c r="Q774" s="56"/>
      <c r="R774" s="56">
        <v>0</v>
      </c>
      <c r="S774" s="56"/>
      <c r="T774" s="56"/>
      <c r="U774" s="57"/>
      <c r="V774" s="56">
        <v>0</v>
      </c>
      <c r="W774" s="56"/>
      <c r="X774" s="56"/>
      <c r="Y774" s="56"/>
      <c r="Z774" s="56"/>
      <c r="AA774" s="89">
        <f>V774+R774+O774+L774</f>
        <v>32</v>
      </c>
      <c r="AB774" s="89"/>
      <c r="AC774" s="89"/>
    </row>
    <row r="775" spans="1:29" ht="20.25" customHeight="1" x14ac:dyDescent="0.3">
      <c r="A775" s="53" t="s">
        <v>34</v>
      </c>
      <c r="B775" s="54"/>
      <c r="C775" s="54"/>
      <c r="D775" s="54"/>
      <c r="E775" s="54"/>
      <c r="F775" s="54"/>
      <c r="G775" s="54"/>
      <c r="H775" s="54"/>
      <c r="I775" s="54"/>
      <c r="J775" s="54"/>
      <c r="K775" s="55"/>
      <c r="L775" s="56">
        <v>6</v>
      </c>
      <c r="M775" s="56"/>
      <c r="N775" s="56"/>
      <c r="O775" s="56">
        <v>0</v>
      </c>
      <c r="P775" s="56"/>
      <c r="Q775" s="56"/>
      <c r="R775" s="56">
        <v>0</v>
      </c>
      <c r="S775" s="56"/>
      <c r="T775" s="56"/>
      <c r="U775" s="57"/>
      <c r="V775" s="56">
        <v>0</v>
      </c>
      <c r="W775" s="56"/>
      <c r="X775" s="56"/>
      <c r="Y775" s="56"/>
      <c r="Z775" s="56"/>
      <c r="AA775" s="89">
        <f>V775+R775+O775+L775</f>
        <v>6</v>
      </c>
      <c r="AB775" s="89"/>
      <c r="AC775" s="89"/>
    </row>
    <row r="776" spans="1:29" ht="20.25" customHeight="1" x14ac:dyDescent="0.3">
      <c r="A776" s="53" t="s">
        <v>70</v>
      </c>
      <c r="B776" s="54"/>
      <c r="C776" s="54"/>
      <c r="D776" s="54"/>
      <c r="E776" s="54"/>
      <c r="F776" s="54"/>
      <c r="G776" s="54"/>
      <c r="H776" s="54"/>
      <c r="I776" s="54"/>
      <c r="J776" s="54"/>
      <c r="K776" s="55"/>
      <c r="L776" s="56">
        <v>0</v>
      </c>
      <c r="M776" s="56"/>
      <c r="N776" s="56"/>
      <c r="O776" s="56">
        <v>0</v>
      </c>
      <c r="P776" s="56"/>
      <c r="Q776" s="56"/>
      <c r="R776" s="56">
        <v>0</v>
      </c>
      <c r="S776" s="56"/>
      <c r="T776" s="56"/>
      <c r="U776" s="57"/>
      <c r="V776" s="56">
        <v>0</v>
      </c>
      <c r="W776" s="56"/>
      <c r="X776" s="56"/>
      <c r="Y776" s="56"/>
      <c r="Z776" s="56"/>
      <c r="AA776" s="89">
        <f>V776+R776+O776+L776</f>
        <v>0</v>
      </c>
      <c r="AB776" s="89"/>
      <c r="AC776" s="89"/>
    </row>
    <row r="777" spans="1:29" ht="21" customHeight="1" x14ac:dyDescent="0.3">
      <c r="A777" s="53" t="s">
        <v>35</v>
      </c>
      <c r="B777" s="54"/>
      <c r="C777" s="54"/>
      <c r="D777" s="54"/>
      <c r="E777" s="54"/>
      <c r="F777" s="54"/>
      <c r="G777" s="54"/>
      <c r="H777" s="54"/>
      <c r="I777" s="54"/>
      <c r="J777" s="54"/>
      <c r="K777" s="55"/>
      <c r="L777" s="56">
        <v>0</v>
      </c>
      <c r="M777" s="56"/>
      <c r="N777" s="56"/>
      <c r="O777" s="56">
        <v>0</v>
      </c>
      <c r="P777" s="56"/>
      <c r="Q777" s="56"/>
      <c r="R777" s="56">
        <v>0</v>
      </c>
      <c r="S777" s="56"/>
      <c r="T777" s="56"/>
      <c r="U777" s="57"/>
      <c r="V777" s="56">
        <v>0</v>
      </c>
      <c r="W777" s="56"/>
      <c r="X777" s="56"/>
      <c r="Y777" s="56"/>
      <c r="Z777" s="56"/>
      <c r="AA777" s="89">
        <f>V777+R777+O777+L777</f>
        <v>0</v>
      </c>
      <c r="AB777" s="89"/>
      <c r="AC777" s="89"/>
    </row>
    <row r="778" spans="1:29" ht="4.5" customHeight="1" x14ac:dyDescent="0.25"/>
    <row r="779" spans="1:29" ht="12.75" customHeight="1" x14ac:dyDescent="0.25">
      <c r="A779" s="95" t="s">
        <v>36</v>
      </c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</row>
    <row r="780" spans="1:29" ht="12.75" customHeight="1" x14ac:dyDescent="0.25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</row>
    <row r="781" spans="1:29" ht="0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7.25" customHeight="1" x14ac:dyDescent="0.25">
      <c r="J782" s="96" t="s">
        <v>9</v>
      </c>
      <c r="K782" s="97"/>
      <c r="L782" s="98" t="s">
        <v>10</v>
      </c>
      <c r="M782" s="94"/>
      <c r="N782" s="94" t="s">
        <v>3</v>
      </c>
      <c r="O782" s="94"/>
      <c r="P782" s="94" t="s">
        <v>4</v>
      </c>
      <c r="Q782" s="94"/>
      <c r="R782" s="94" t="s">
        <v>5</v>
      </c>
      <c r="S782" s="94"/>
      <c r="T782" s="94" t="s">
        <v>6</v>
      </c>
      <c r="U782" s="94"/>
      <c r="V782" s="94" t="s">
        <v>7</v>
      </c>
      <c r="W782" s="94"/>
      <c r="X782" s="94" t="s">
        <v>11</v>
      </c>
      <c r="Y782" s="94"/>
      <c r="Z782" s="99" t="s">
        <v>49</v>
      </c>
      <c r="AA782" s="99"/>
      <c r="AB782" s="94" t="s">
        <v>0</v>
      </c>
      <c r="AC782" s="94"/>
    </row>
    <row r="783" spans="1:29" ht="17.25" customHeight="1" x14ac:dyDescent="0.25">
      <c r="J783" s="2" t="s">
        <v>1</v>
      </c>
      <c r="K783" s="2" t="s">
        <v>2</v>
      </c>
      <c r="L783" s="2" t="s">
        <v>1</v>
      </c>
      <c r="M783" s="2" t="s">
        <v>2</v>
      </c>
      <c r="N783" s="2" t="s">
        <v>1</v>
      </c>
      <c r="O783" s="2" t="s">
        <v>2</v>
      </c>
      <c r="P783" s="2" t="s">
        <v>1</v>
      </c>
      <c r="Q783" s="2" t="s">
        <v>2</v>
      </c>
      <c r="R783" s="2" t="s">
        <v>1</v>
      </c>
      <c r="S783" s="2" t="s">
        <v>2</v>
      </c>
      <c r="T783" s="2" t="s">
        <v>1</v>
      </c>
      <c r="U783" s="2" t="s">
        <v>2</v>
      </c>
      <c r="V783" s="2" t="s">
        <v>1</v>
      </c>
      <c r="W783" s="2" t="s">
        <v>2</v>
      </c>
      <c r="X783" s="2" t="s">
        <v>1</v>
      </c>
      <c r="Y783" s="2" t="s">
        <v>2</v>
      </c>
      <c r="Z783" s="17" t="s">
        <v>1</v>
      </c>
      <c r="AA783" s="17" t="s">
        <v>2</v>
      </c>
      <c r="AB783" s="94"/>
      <c r="AC783" s="94"/>
    </row>
    <row r="784" spans="1:29" ht="18.75" customHeight="1" x14ac:dyDescent="0.25">
      <c r="A784" s="90" t="s">
        <v>71</v>
      </c>
      <c r="B784" s="91"/>
      <c r="C784" s="91"/>
      <c r="D784" s="91"/>
      <c r="E784" s="91"/>
      <c r="F784" s="91"/>
      <c r="G784" s="91"/>
      <c r="H784" s="91"/>
      <c r="I784" s="92"/>
      <c r="J784" s="14">
        <v>0</v>
      </c>
      <c r="K784" s="14">
        <v>0</v>
      </c>
      <c r="L784" s="14">
        <v>1</v>
      </c>
      <c r="M784" s="14">
        <v>0</v>
      </c>
      <c r="N784" s="14">
        <v>5</v>
      </c>
      <c r="O784" s="14">
        <v>2</v>
      </c>
      <c r="P784" s="14">
        <v>5</v>
      </c>
      <c r="Q784" s="14">
        <v>2</v>
      </c>
      <c r="R784" s="14">
        <v>5</v>
      </c>
      <c r="S784" s="14">
        <v>1</v>
      </c>
      <c r="T784" s="14">
        <v>2</v>
      </c>
      <c r="U784" s="14">
        <v>4</v>
      </c>
      <c r="V784" s="14">
        <v>1</v>
      </c>
      <c r="W784" s="14">
        <v>1</v>
      </c>
      <c r="X784" s="14">
        <v>2</v>
      </c>
      <c r="Y784" s="14">
        <v>1</v>
      </c>
      <c r="Z784" s="18">
        <f>X784+V784+T784+R784+P784+N784+L784+J784</f>
        <v>21</v>
      </c>
      <c r="AA784" s="18">
        <f>Y784+W784+U784+S784+Q784+O784+M784+K784</f>
        <v>11</v>
      </c>
      <c r="AB784" s="93">
        <f t="shared" ref="AB784:AB789" si="32">AA784+Z784</f>
        <v>32</v>
      </c>
      <c r="AC784" s="93"/>
    </row>
    <row r="785" spans="1:36" ht="18.75" customHeight="1" x14ac:dyDescent="0.25">
      <c r="A785" s="53" t="s">
        <v>37</v>
      </c>
      <c r="B785" s="54"/>
      <c r="C785" s="54"/>
      <c r="D785" s="54"/>
      <c r="E785" s="54"/>
      <c r="F785" s="54"/>
      <c r="G785" s="54"/>
      <c r="H785" s="54"/>
      <c r="I785" s="55"/>
      <c r="J785" s="29">
        <v>0</v>
      </c>
      <c r="K785" s="29">
        <v>0</v>
      </c>
      <c r="L785" s="29">
        <v>0</v>
      </c>
      <c r="M785" s="29">
        <v>0</v>
      </c>
      <c r="N785" s="29">
        <v>0</v>
      </c>
      <c r="O785" s="29">
        <v>0</v>
      </c>
      <c r="P785" s="29">
        <v>1</v>
      </c>
      <c r="Q785" s="29">
        <v>2</v>
      </c>
      <c r="R785" s="29">
        <v>0</v>
      </c>
      <c r="S785" s="29">
        <v>0</v>
      </c>
      <c r="T785" s="29">
        <v>0</v>
      </c>
      <c r="U785" s="29">
        <v>1</v>
      </c>
      <c r="V785" s="29">
        <v>2</v>
      </c>
      <c r="W785" s="29">
        <v>0</v>
      </c>
      <c r="X785" s="29">
        <v>0</v>
      </c>
      <c r="Y785" s="29">
        <v>0</v>
      </c>
      <c r="Z785" s="18">
        <f t="shared" ref="Z785:AA789" si="33">X785+V785+T785+R785+P785+N785+L785+J785</f>
        <v>3</v>
      </c>
      <c r="AA785" s="18">
        <f t="shared" si="33"/>
        <v>3</v>
      </c>
      <c r="AB785" s="93">
        <f t="shared" si="32"/>
        <v>6</v>
      </c>
      <c r="AC785" s="93"/>
    </row>
    <row r="786" spans="1:36" ht="24" customHeight="1" x14ac:dyDescent="0.25">
      <c r="A786" s="90" t="s">
        <v>72</v>
      </c>
      <c r="B786" s="91"/>
      <c r="C786" s="91"/>
      <c r="D786" s="91"/>
      <c r="E786" s="91"/>
      <c r="F786" s="91"/>
      <c r="G786" s="91"/>
      <c r="H786" s="91"/>
      <c r="I786" s="92"/>
      <c r="J786" s="29">
        <v>0</v>
      </c>
      <c r="K786" s="29">
        <v>0</v>
      </c>
      <c r="L786" s="29">
        <v>0</v>
      </c>
      <c r="M786" s="29">
        <v>0</v>
      </c>
      <c r="N786" s="29">
        <v>0</v>
      </c>
      <c r="O786" s="29">
        <v>0</v>
      </c>
      <c r="P786" s="29">
        <v>0</v>
      </c>
      <c r="Q786" s="29">
        <v>0</v>
      </c>
      <c r="R786" s="29">
        <v>0</v>
      </c>
      <c r="S786" s="29">
        <v>0</v>
      </c>
      <c r="T786" s="29">
        <v>0</v>
      </c>
      <c r="U786" s="29">
        <v>0</v>
      </c>
      <c r="V786" s="29">
        <v>0</v>
      </c>
      <c r="W786" s="29">
        <v>0</v>
      </c>
      <c r="X786" s="29">
        <v>0</v>
      </c>
      <c r="Y786" s="29">
        <v>0</v>
      </c>
      <c r="Z786" s="18">
        <f t="shared" si="33"/>
        <v>0</v>
      </c>
      <c r="AA786" s="18">
        <f t="shared" si="33"/>
        <v>0</v>
      </c>
      <c r="AB786" s="93">
        <f t="shared" si="32"/>
        <v>0</v>
      </c>
      <c r="AC786" s="93"/>
    </row>
    <row r="787" spans="1:36" ht="18.75" customHeight="1" x14ac:dyDescent="0.25">
      <c r="A787" s="90" t="s">
        <v>38</v>
      </c>
      <c r="B787" s="91"/>
      <c r="C787" s="91"/>
      <c r="D787" s="91"/>
      <c r="E787" s="91"/>
      <c r="F787" s="91"/>
      <c r="G787" s="91"/>
      <c r="H787" s="91"/>
      <c r="I787" s="92"/>
      <c r="J787" s="29">
        <v>0</v>
      </c>
      <c r="K787" s="29">
        <v>0</v>
      </c>
      <c r="L787" s="29">
        <v>0</v>
      </c>
      <c r="M787" s="29">
        <v>0</v>
      </c>
      <c r="N787" s="29">
        <v>0</v>
      </c>
      <c r="O787" s="29">
        <v>0</v>
      </c>
      <c r="P787" s="29">
        <v>0</v>
      </c>
      <c r="Q787" s="29">
        <v>0</v>
      </c>
      <c r="R787" s="29">
        <v>0</v>
      </c>
      <c r="S787" s="29">
        <v>0</v>
      </c>
      <c r="T787" s="29">
        <v>0</v>
      </c>
      <c r="U787" s="29">
        <v>0</v>
      </c>
      <c r="V787" s="29">
        <v>0</v>
      </c>
      <c r="W787" s="29">
        <v>0</v>
      </c>
      <c r="X787" s="29">
        <v>0</v>
      </c>
      <c r="Y787" s="29">
        <v>0</v>
      </c>
      <c r="Z787" s="18">
        <f t="shared" si="33"/>
        <v>0</v>
      </c>
      <c r="AA787" s="18">
        <f t="shared" si="33"/>
        <v>0</v>
      </c>
      <c r="AB787" s="93">
        <f t="shared" si="32"/>
        <v>0</v>
      </c>
      <c r="AC787" s="93"/>
    </row>
    <row r="788" spans="1:36" ht="18.75" customHeight="1" x14ac:dyDescent="0.25">
      <c r="A788" s="90" t="s">
        <v>39</v>
      </c>
      <c r="B788" s="91"/>
      <c r="C788" s="91"/>
      <c r="D788" s="91"/>
      <c r="E788" s="91"/>
      <c r="F788" s="91"/>
      <c r="G788" s="91"/>
      <c r="H788" s="91"/>
      <c r="I788" s="92"/>
      <c r="J788" s="29">
        <v>0</v>
      </c>
      <c r="K788" s="29">
        <v>0</v>
      </c>
      <c r="L788" s="29">
        <v>0</v>
      </c>
      <c r="M788" s="29">
        <v>0</v>
      </c>
      <c r="N788" s="29">
        <v>0</v>
      </c>
      <c r="O788" s="29">
        <v>0</v>
      </c>
      <c r="P788" s="29">
        <v>0</v>
      </c>
      <c r="Q788" s="29">
        <v>0</v>
      </c>
      <c r="R788" s="29">
        <v>0</v>
      </c>
      <c r="S788" s="29">
        <v>0</v>
      </c>
      <c r="T788" s="29">
        <v>0</v>
      </c>
      <c r="U788" s="29">
        <v>0</v>
      </c>
      <c r="V788" s="29">
        <v>0</v>
      </c>
      <c r="W788" s="29">
        <v>0</v>
      </c>
      <c r="X788" s="29">
        <v>0</v>
      </c>
      <c r="Y788" s="29">
        <v>0</v>
      </c>
      <c r="Z788" s="18">
        <f t="shared" si="33"/>
        <v>0</v>
      </c>
      <c r="AA788" s="18">
        <f t="shared" si="33"/>
        <v>0</v>
      </c>
      <c r="AB788" s="93">
        <f t="shared" si="32"/>
        <v>0</v>
      </c>
      <c r="AC788" s="93"/>
    </row>
    <row r="789" spans="1:36" ht="18.75" customHeight="1" x14ac:dyDescent="0.25">
      <c r="A789" s="90" t="s">
        <v>17</v>
      </c>
      <c r="B789" s="91"/>
      <c r="C789" s="91"/>
      <c r="D789" s="91"/>
      <c r="E789" s="91"/>
      <c r="F789" s="91"/>
      <c r="G789" s="91"/>
      <c r="H789" s="91"/>
      <c r="I789" s="92"/>
      <c r="J789" s="29">
        <v>0</v>
      </c>
      <c r="K789" s="29">
        <v>0</v>
      </c>
      <c r="L789" s="29">
        <v>0</v>
      </c>
      <c r="M789" s="29">
        <v>0</v>
      </c>
      <c r="N789" s="29">
        <v>0</v>
      </c>
      <c r="O789" s="29">
        <v>0</v>
      </c>
      <c r="P789" s="29">
        <v>0</v>
      </c>
      <c r="Q789" s="29">
        <v>0</v>
      </c>
      <c r="R789" s="29">
        <v>0</v>
      </c>
      <c r="S789" s="29">
        <v>0</v>
      </c>
      <c r="T789" s="29">
        <v>0</v>
      </c>
      <c r="U789" s="29">
        <v>0</v>
      </c>
      <c r="V789" s="29">
        <v>0</v>
      </c>
      <c r="W789" s="29">
        <v>0</v>
      </c>
      <c r="X789" s="29">
        <v>0</v>
      </c>
      <c r="Y789" s="29">
        <v>0</v>
      </c>
      <c r="Z789" s="18">
        <f t="shared" si="33"/>
        <v>0</v>
      </c>
      <c r="AA789" s="18">
        <f t="shared" si="33"/>
        <v>0</v>
      </c>
      <c r="AB789" s="93">
        <f t="shared" si="32"/>
        <v>0</v>
      </c>
      <c r="AC789" s="93"/>
    </row>
    <row r="790" spans="1:36" ht="9" customHeight="1" x14ac:dyDescent="0.25"/>
    <row r="791" spans="1:36" ht="1.5" hidden="1" customHeight="1" x14ac:dyDescent="0.25"/>
    <row r="792" spans="1:36" ht="15.75" x14ac:dyDescent="0.25">
      <c r="A792" s="4" t="s">
        <v>73</v>
      </c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N792" s="4" t="s">
        <v>20</v>
      </c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36" ht="15" customHeight="1" x14ac:dyDescent="0.25">
      <c r="A793" s="123" t="s">
        <v>74</v>
      </c>
      <c r="B793" s="123"/>
      <c r="C793" s="123"/>
      <c r="D793" s="123"/>
      <c r="E793" s="50" t="s">
        <v>75</v>
      </c>
      <c r="F793" s="50"/>
      <c r="G793" s="50"/>
      <c r="H793" s="50"/>
      <c r="I793" s="50" t="s">
        <v>76</v>
      </c>
      <c r="J793" s="50"/>
      <c r="K793" s="50"/>
      <c r="L793" s="50"/>
      <c r="M793" s="9"/>
      <c r="N793" s="124" t="s">
        <v>77</v>
      </c>
      <c r="O793" s="125"/>
      <c r="P793" s="125"/>
      <c r="Q793" s="125"/>
      <c r="R793" s="125"/>
      <c r="S793" s="126"/>
      <c r="T793" s="50" t="s">
        <v>21</v>
      </c>
      <c r="U793" s="50"/>
      <c r="V793" s="50" t="s">
        <v>22</v>
      </c>
      <c r="W793" s="50"/>
      <c r="X793" s="50"/>
      <c r="Y793" s="50"/>
      <c r="Z793" s="50"/>
      <c r="AA793" s="50" t="s">
        <v>23</v>
      </c>
      <c r="AB793" s="50"/>
      <c r="AC793" s="50"/>
      <c r="AD793" s="10"/>
      <c r="AE793" s="3"/>
      <c r="AG793" s="9"/>
      <c r="AH793" s="9"/>
      <c r="AI793" s="9"/>
      <c r="AJ793" s="9"/>
    </row>
    <row r="794" spans="1:36" ht="51" customHeight="1" x14ac:dyDescent="0.25">
      <c r="A794" s="123"/>
      <c r="B794" s="123"/>
      <c r="C794" s="123"/>
      <c r="D794" s="123"/>
      <c r="E794" s="50"/>
      <c r="F794" s="50"/>
      <c r="G794" s="50"/>
      <c r="H794" s="50"/>
      <c r="I794" s="50"/>
      <c r="J794" s="50"/>
      <c r="K794" s="50"/>
      <c r="L794" s="50"/>
      <c r="M794" s="20"/>
      <c r="N794" s="101"/>
      <c r="O794" s="102"/>
      <c r="P794" s="102"/>
      <c r="Q794" s="102"/>
      <c r="R794" s="102"/>
      <c r="S794" s="127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10"/>
      <c r="AE794" s="3"/>
      <c r="AG794" s="21"/>
      <c r="AH794" s="21"/>
      <c r="AI794" s="21"/>
      <c r="AJ794" s="9"/>
    </row>
    <row r="795" spans="1:36" ht="48.75" customHeight="1" x14ac:dyDescent="0.25">
      <c r="A795" s="50" t="s">
        <v>78</v>
      </c>
      <c r="B795" s="50"/>
      <c r="C795" s="52" t="s">
        <v>79</v>
      </c>
      <c r="D795" s="116"/>
      <c r="E795" s="50" t="s">
        <v>78</v>
      </c>
      <c r="F795" s="50"/>
      <c r="G795" s="50" t="s">
        <v>79</v>
      </c>
      <c r="H795" s="50"/>
      <c r="I795" s="117" t="s">
        <v>80</v>
      </c>
      <c r="J795" s="117"/>
      <c r="K795" s="50" t="s">
        <v>81</v>
      </c>
      <c r="L795" s="50"/>
      <c r="M795" s="20"/>
      <c r="N795" s="118" t="s">
        <v>82</v>
      </c>
      <c r="O795" s="119"/>
      <c r="P795" s="120"/>
      <c r="Q795" s="121" t="s">
        <v>83</v>
      </c>
      <c r="R795" s="122"/>
      <c r="S795" s="122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10"/>
      <c r="AE795" s="22"/>
      <c r="AG795" s="21"/>
      <c r="AH795" s="21"/>
      <c r="AI795" s="21"/>
      <c r="AJ795" s="9"/>
    </row>
    <row r="796" spans="1:36" ht="21.75" customHeight="1" x14ac:dyDescent="0.25">
      <c r="A796" s="56">
        <v>0</v>
      </c>
      <c r="B796" s="56"/>
      <c r="C796" s="139">
        <v>275</v>
      </c>
      <c r="D796" s="140"/>
      <c r="E796" s="50">
        <v>0</v>
      </c>
      <c r="F796" s="50"/>
      <c r="G796" s="50">
        <v>32</v>
      </c>
      <c r="H796" s="50"/>
      <c r="I796" s="134">
        <v>0</v>
      </c>
      <c r="J796" s="134"/>
      <c r="K796" s="134">
        <v>0</v>
      </c>
      <c r="L796" s="134"/>
      <c r="M796" s="20"/>
      <c r="N796" s="100">
        <v>38</v>
      </c>
      <c r="O796" s="100"/>
      <c r="P796" s="100"/>
      <c r="Q796" s="101">
        <v>28</v>
      </c>
      <c r="R796" s="102"/>
      <c r="S796" s="102"/>
      <c r="T796" s="103">
        <v>0</v>
      </c>
      <c r="U796" s="103"/>
      <c r="V796" s="103">
        <v>0</v>
      </c>
      <c r="W796" s="103"/>
      <c r="X796" s="103"/>
      <c r="Y796" s="103"/>
      <c r="Z796" s="103"/>
      <c r="AA796" s="104">
        <v>0</v>
      </c>
      <c r="AB796" s="104"/>
      <c r="AC796" s="104"/>
      <c r="AD796" s="22"/>
      <c r="AE796" s="23"/>
      <c r="AG796" s="9"/>
      <c r="AH796" s="9"/>
      <c r="AI796" s="9"/>
      <c r="AJ796" s="9"/>
    </row>
    <row r="797" spans="1:36" ht="6" customHeight="1" x14ac:dyDescent="0.25">
      <c r="L797" s="24"/>
      <c r="AG797" s="9"/>
      <c r="AH797" s="9"/>
      <c r="AI797" s="9"/>
      <c r="AJ797" s="9"/>
    </row>
    <row r="798" spans="1:36" ht="15.75" x14ac:dyDescent="0.25">
      <c r="A798" s="4" t="s">
        <v>24</v>
      </c>
      <c r="B798" s="19"/>
      <c r="C798" s="19"/>
      <c r="D798" s="19"/>
      <c r="E798" s="19"/>
      <c r="M798" s="19"/>
      <c r="N798" s="4" t="s">
        <v>25</v>
      </c>
      <c r="O798" s="19"/>
      <c r="AG798" s="9"/>
      <c r="AH798" s="9"/>
      <c r="AI798" s="9"/>
      <c r="AJ798" s="9"/>
    </row>
    <row r="799" spans="1:36" ht="15" customHeight="1" x14ac:dyDescent="0.25">
      <c r="A799" s="50" t="s">
        <v>26</v>
      </c>
      <c r="B799" s="50"/>
      <c r="C799" s="50"/>
      <c r="D799" s="50"/>
      <c r="E799" s="50"/>
      <c r="F799" s="105" t="s">
        <v>27</v>
      </c>
      <c r="G799" s="106"/>
      <c r="H799" s="106"/>
      <c r="I799" s="106"/>
      <c r="J799" s="106"/>
      <c r="K799" s="106"/>
      <c r="L799" s="107"/>
      <c r="M799" s="24"/>
      <c r="N799" s="50" t="s">
        <v>84</v>
      </c>
      <c r="O799" s="50"/>
      <c r="P799" s="50"/>
      <c r="Q799" s="50"/>
      <c r="R799" s="105" t="s">
        <v>28</v>
      </c>
      <c r="S799" s="106"/>
      <c r="T799" s="106"/>
      <c r="U799" s="107"/>
      <c r="V799" s="50" t="s">
        <v>29</v>
      </c>
      <c r="W799" s="50"/>
      <c r="X799" s="50"/>
      <c r="Y799" s="50"/>
      <c r="Z799" s="50"/>
      <c r="AA799" s="106" t="s">
        <v>85</v>
      </c>
      <c r="AB799" s="106"/>
      <c r="AC799" s="107"/>
    </row>
    <row r="800" spans="1:36" x14ac:dyDescent="0.25">
      <c r="A800" s="50"/>
      <c r="B800" s="50"/>
      <c r="C800" s="50"/>
      <c r="D800" s="50"/>
      <c r="E800" s="50"/>
      <c r="F800" s="108"/>
      <c r="G800" s="109"/>
      <c r="H800" s="109"/>
      <c r="I800" s="109"/>
      <c r="J800" s="109"/>
      <c r="K800" s="109"/>
      <c r="L800" s="110"/>
      <c r="M800" s="24"/>
      <c r="N800" s="50"/>
      <c r="O800" s="50"/>
      <c r="P800" s="50"/>
      <c r="Q800" s="50"/>
      <c r="R800" s="108"/>
      <c r="S800" s="109"/>
      <c r="T800" s="109"/>
      <c r="U800" s="110"/>
      <c r="V800" s="50"/>
      <c r="W800" s="50"/>
      <c r="X800" s="50"/>
      <c r="Y800" s="50"/>
      <c r="Z800" s="50"/>
      <c r="AA800" s="109"/>
      <c r="AB800" s="109"/>
      <c r="AC800" s="110"/>
    </row>
    <row r="801" spans="1:40" x14ac:dyDescent="0.25">
      <c r="A801" s="50"/>
      <c r="B801" s="50"/>
      <c r="C801" s="50"/>
      <c r="D801" s="50"/>
      <c r="E801" s="50"/>
      <c r="F801" s="111"/>
      <c r="G801" s="112"/>
      <c r="H801" s="112"/>
      <c r="I801" s="112"/>
      <c r="J801" s="112"/>
      <c r="K801" s="112"/>
      <c r="L801" s="113"/>
      <c r="M801" s="24"/>
      <c r="N801" s="50"/>
      <c r="O801" s="50"/>
      <c r="P801" s="50"/>
      <c r="Q801" s="50"/>
      <c r="R801" s="111"/>
      <c r="S801" s="112"/>
      <c r="T801" s="112"/>
      <c r="U801" s="113"/>
      <c r="V801" s="50"/>
      <c r="W801" s="50"/>
      <c r="X801" s="50"/>
      <c r="Y801" s="50"/>
      <c r="Z801" s="50"/>
      <c r="AA801" s="112"/>
      <c r="AB801" s="112"/>
      <c r="AC801" s="113"/>
    </row>
    <row r="802" spans="1:40" ht="21.75" customHeight="1" x14ac:dyDescent="0.25">
      <c r="A802" s="50">
        <v>24</v>
      </c>
      <c r="B802" s="50"/>
      <c r="C802" s="50"/>
      <c r="D802" s="50"/>
      <c r="E802" s="50"/>
      <c r="F802" s="111">
        <v>1</v>
      </c>
      <c r="G802" s="112"/>
      <c r="H802" s="112"/>
      <c r="I802" s="112"/>
      <c r="J802" s="112"/>
      <c r="K802" s="112"/>
      <c r="L802" s="113"/>
      <c r="M802" s="24"/>
      <c r="N802" s="50">
        <v>3</v>
      </c>
      <c r="O802" s="50"/>
      <c r="P802" s="50"/>
      <c r="Q802" s="50"/>
      <c r="R802" s="111">
        <v>14</v>
      </c>
      <c r="S802" s="112"/>
      <c r="T802" s="112"/>
      <c r="U802" s="113"/>
      <c r="V802" s="50">
        <v>18</v>
      </c>
      <c r="W802" s="50"/>
      <c r="X802" s="50"/>
      <c r="Y802" s="50"/>
      <c r="Z802" s="50"/>
      <c r="AA802" s="135">
        <v>0</v>
      </c>
      <c r="AB802" s="135"/>
      <c r="AC802" s="136"/>
    </row>
    <row r="803" spans="1:40" x14ac:dyDescent="0.25">
      <c r="A803" s="16"/>
      <c r="B803" s="16" t="s">
        <v>86</v>
      </c>
      <c r="C803" s="7" t="s">
        <v>87</v>
      </c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40" x14ac:dyDescent="0.25">
      <c r="A804" s="16"/>
      <c r="B804" s="16" t="s">
        <v>12</v>
      </c>
      <c r="C804" s="7" t="s">
        <v>88</v>
      </c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40" x14ac:dyDescent="0.25">
      <c r="A805" s="128"/>
      <c r="B805" s="16" t="s">
        <v>13</v>
      </c>
      <c r="C805" s="7" t="s">
        <v>89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40" ht="15" customHeight="1" x14ac:dyDescent="0.25">
      <c r="A806" s="128"/>
      <c r="B806" s="128" t="s">
        <v>14</v>
      </c>
      <c r="C806" s="137" t="s">
        <v>90</v>
      </c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27"/>
      <c r="AN806" s="15">
        <f ca="1">AN806:AO806</f>
        <v>0</v>
      </c>
    </row>
    <row r="807" spans="1:40" x14ac:dyDescent="0.25">
      <c r="B807" s="128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27"/>
    </row>
    <row r="808" spans="1:40" ht="12.75" customHeight="1" x14ac:dyDescent="0.25">
      <c r="M808" s="129" t="s">
        <v>19</v>
      </c>
      <c r="N808" s="129"/>
      <c r="O808" s="129"/>
      <c r="P808" s="129"/>
      <c r="Q808" s="129"/>
      <c r="R808" s="129"/>
      <c r="S808" s="11"/>
    </row>
    <row r="809" spans="1:40" x14ac:dyDescent="0.25">
      <c r="L809" s="12"/>
      <c r="M809" s="12"/>
      <c r="N809" s="12"/>
      <c r="O809" s="12"/>
      <c r="P809" s="13"/>
      <c r="R809" s="11"/>
      <c r="S809" s="11"/>
    </row>
    <row r="810" spans="1:40" x14ac:dyDescent="0.25">
      <c r="L810" s="9"/>
      <c r="R810" s="25"/>
      <c r="S810" s="25"/>
      <c r="T810" s="9"/>
      <c r="U810" s="9"/>
      <c r="V810" s="9"/>
      <c r="W810" s="9"/>
      <c r="X810" s="9"/>
      <c r="Y810" s="9"/>
      <c r="Z810" s="9"/>
    </row>
    <row r="811" spans="1:40" ht="15.75" x14ac:dyDescent="0.25">
      <c r="L811" s="25"/>
      <c r="M811" s="130" t="s">
        <v>97</v>
      </c>
      <c r="N811" s="130"/>
      <c r="O811" s="130"/>
      <c r="P811" s="130"/>
      <c r="Q811" s="130"/>
      <c r="R811" s="130"/>
      <c r="S811" s="25"/>
      <c r="T811" s="9"/>
      <c r="U811" s="9"/>
      <c r="V811" s="9"/>
      <c r="W811" s="9"/>
      <c r="X811" s="9"/>
      <c r="Y811" s="9"/>
      <c r="Z811" s="9"/>
    </row>
    <row r="812" spans="1:40" ht="15.75" x14ac:dyDescent="0.25">
      <c r="L812" s="25"/>
      <c r="M812" s="131" t="s">
        <v>98</v>
      </c>
      <c r="N812" s="131"/>
      <c r="O812" s="131"/>
      <c r="P812" s="131"/>
      <c r="Q812" s="131"/>
      <c r="R812" s="131"/>
      <c r="S812" s="25"/>
      <c r="T812" s="9"/>
      <c r="U812" s="9"/>
      <c r="V812" s="9"/>
      <c r="W812" s="9"/>
      <c r="X812" s="9"/>
      <c r="Y812" s="9"/>
      <c r="Z812" s="9"/>
    </row>
    <row r="814" spans="1:40" ht="12.75" customHeight="1" x14ac:dyDescent="0.25"/>
    <row r="815" spans="1:40" ht="12.75" customHeight="1" x14ac:dyDescent="0.25"/>
    <row r="816" spans="1:40" ht="12.75" customHeight="1" x14ac:dyDescent="0.25">
      <c r="A816" s="34" t="s">
        <v>41</v>
      </c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spans="1:29" ht="12" customHeight="1" x14ac:dyDescent="0.25">
      <c r="A817" s="35" t="s">
        <v>30</v>
      </c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</row>
    <row r="818" spans="1:29" ht="12" customHeight="1" x14ac:dyDescent="0.25">
      <c r="A818" s="35" t="s">
        <v>46</v>
      </c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</row>
    <row r="819" spans="1:29" ht="12" customHeight="1" x14ac:dyDescent="0.25">
      <c r="A819" s="36" t="s">
        <v>62</v>
      </c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</row>
    <row r="820" spans="1:29" ht="12" customHeight="1" x14ac:dyDescent="0.25">
      <c r="A820" s="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5">
      <c r="A821" s="37" t="s">
        <v>63</v>
      </c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 spans="1:29" ht="6" customHeight="1" x14ac:dyDescent="0.25"/>
    <row r="823" spans="1:29" ht="12.75" customHeight="1" x14ac:dyDescent="0.25">
      <c r="A823" s="38" t="s">
        <v>64</v>
      </c>
      <c r="B823" s="39"/>
      <c r="C823" s="39"/>
      <c r="D823" s="39"/>
      <c r="E823" s="39"/>
      <c r="F823" s="39"/>
      <c r="G823" s="39"/>
      <c r="H823" s="40"/>
      <c r="I823" s="38" t="s">
        <v>65</v>
      </c>
      <c r="J823" s="39"/>
      <c r="K823" s="39"/>
      <c r="L823" s="39"/>
      <c r="M823" s="39"/>
      <c r="N823" s="39"/>
      <c r="O823" s="39"/>
      <c r="P823" s="39"/>
      <c r="Q823" s="40"/>
      <c r="R823" s="38" t="s">
        <v>18</v>
      </c>
      <c r="S823" s="39"/>
      <c r="T823" s="39"/>
      <c r="U823" s="40"/>
      <c r="V823" s="41" t="s">
        <v>66</v>
      </c>
      <c r="W823" s="42"/>
      <c r="X823" s="42"/>
      <c r="Y823" s="42"/>
      <c r="Z823" s="42"/>
      <c r="AA823" s="42"/>
      <c r="AB823" s="42"/>
      <c r="AC823" s="43"/>
    </row>
    <row r="824" spans="1:29" ht="12.75" customHeight="1" x14ac:dyDescent="0.25">
      <c r="A824" s="47" t="s">
        <v>40</v>
      </c>
      <c r="B824" s="48"/>
      <c r="C824" s="48"/>
      <c r="D824" s="48"/>
      <c r="E824" s="48"/>
      <c r="F824" s="48"/>
      <c r="G824" s="48"/>
      <c r="H824" s="49"/>
      <c r="I824" s="47" t="s">
        <v>61</v>
      </c>
      <c r="J824" s="48"/>
      <c r="K824" s="48"/>
      <c r="L824" s="48"/>
      <c r="M824" s="48"/>
      <c r="N824" s="48"/>
      <c r="O824" s="48"/>
      <c r="P824" s="48"/>
      <c r="Q824" s="49"/>
      <c r="R824" s="58">
        <v>2025</v>
      </c>
      <c r="S824" s="59"/>
      <c r="T824" s="59"/>
      <c r="U824" s="60"/>
      <c r="V824" s="44"/>
      <c r="W824" s="45"/>
      <c r="X824" s="45"/>
      <c r="Y824" s="45"/>
      <c r="Z824" s="45"/>
      <c r="AA824" s="45"/>
      <c r="AB824" s="45"/>
      <c r="AC824" s="46"/>
    </row>
    <row r="825" spans="1:29" ht="12.75" customHeight="1" x14ac:dyDescent="0.25">
      <c r="A825" s="61" t="s">
        <v>67</v>
      </c>
      <c r="B825" s="62"/>
      <c r="C825" s="62"/>
      <c r="D825" s="62"/>
      <c r="E825" s="62"/>
      <c r="F825" s="62"/>
      <c r="G825" s="62"/>
      <c r="H825" s="63"/>
      <c r="I825" s="38" t="s">
        <v>68</v>
      </c>
      <c r="J825" s="39"/>
      <c r="K825" s="39"/>
      <c r="L825" s="39"/>
      <c r="M825" s="39"/>
      <c r="N825" s="39"/>
      <c r="O825" s="39"/>
      <c r="P825" s="39"/>
      <c r="Q825" s="40"/>
      <c r="R825" s="64" t="s">
        <v>47</v>
      </c>
      <c r="S825" s="39"/>
      <c r="T825" s="39"/>
      <c r="U825" s="40"/>
      <c r="V825" s="65"/>
      <c r="W825" s="66"/>
      <c r="X825" s="66"/>
      <c r="Y825" s="66"/>
      <c r="Z825" s="66"/>
      <c r="AA825" s="66"/>
      <c r="AB825" s="66"/>
      <c r="AC825" s="67"/>
    </row>
    <row r="826" spans="1:29" ht="12.75" customHeight="1" x14ac:dyDescent="0.25">
      <c r="A826" s="71" t="s">
        <v>61</v>
      </c>
      <c r="B826" s="72"/>
      <c r="C826" s="72"/>
      <c r="D826" s="72"/>
      <c r="E826" s="72"/>
      <c r="F826" s="72"/>
      <c r="G826" s="72"/>
      <c r="H826" s="73"/>
      <c r="I826" s="77" t="s">
        <v>60</v>
      </c>
      <c r="J826" s="78"/>
      <c r="K826" s="78"/>
      <c r="L826" s="78"/>
      <c r="M826" s="78"/>
      <c r="N826" s="78"/>
      <c r="O826" s="78"/>
      <c r="P826" s="78"/>
      <c r="Q826" s="79"/>
      <c r="R826" s="83" t="s">
        <v>59</v>
      </c>
      <c r="S826" s="84"/>
      <c r="T826" s="84"/>
      <c r="U826" s="85"/>
      <c r="V826" s="65"/>
      <c r="W826" s="66"/>
      <c r="X826" s="66"/>
      <c r="Y826" s="66"/>
      <c r="Z826" s="66"/>
      <c r="AA826" s="66"/>
      <c r="AB826" s="66"/>
      <c r="AC826" s="67"/>
    </row>
    <row r="827" spans="1:29" ht="6.75" customHeight="1" x14ac:dyDescent="0.25">
      <c r="A827" s="74"/>
      <c r="B827" s="75"/>
      <c r="C827" s="75"/>
      <c r="D827" s="75"/>
      <c r="E827" s="75"/>
      <c r="F827" s="75"/>
      <c r="G827" s="75"/>
      <c r="H827" s="76"/>
      <c r="I827" s="80"/>
      <c r="J827" s="81"/>
      <c r="K827" s="81"/>
      <c r="L827" s="81"/>
      <c r="M827" s="81"/>
      <c r="N827" s="81"/>
      <c r="O827" s="81"/>
      <c r="P827" s="81"/>
      <c r="Q827" s="82"/>
      <c r="R827" s="86"/>
      <c r="S827" s="87"/>
      <c r="T827" s="87"/>
      <c r="U827" s="88"/>
      <c r="V827" s="68"/>
      <c r="W827" s="69"/>
      <c r="X827" s="69"/>
      <c r="Y827" s="69"/>
      <c r="Z827" s="69"/>
      <c r="AA827" s="69"/>
      <c r="AB827" s="69"/>
      <c r="AC827" s="70"/>
    </row>
    <row r="828" spans="1:29" ht="10.5" customHeight="1" x14ac:dyDescent="0.25"/>
    <row r="829" spans="1:29" ht="12" customHeight="1" x14ac:dyDescent="0.25">
      <c r="A829" s="4" t="s">
        <v>31</v>
      </c>
    </row>
    <row r="830" spans="1:29" ht="12.75" customHeight="1" x14ac:dyDescent="0.25">
      <c r="L830" s="50" t="s">
        <v>15</v>
      </c>
      <c r="M830" s="50"/>
      <c r="N830" s="50"/>
      <c r="O830" s="51" t="s">
        <v>16</v>
      </c>
      <c r="P830" s="51"/>
      <c r="Q830" s="51"/>
      <c r="R830" s="50" t="s">
        <v>32</v>
      </c>
      <c r="S830" s="50"/>
      <c r="T830" s="50"/>
      <c r="U830" s="52"/>
      <c r="V830" s="51" t="s">
        <v>33</v>
      </c>
      <c r="W830" s="51"/>
      <c r="X830" s="51"/>
      <c r="Y830" s="51"/>
      <c r="Z830" s="51"/>
      <c r="AA830" s="51" t="s">
        <v>0</v>
      </c>
      <c r="AB830" s="51"/>
      <c r="AC830" s="51"/>
    </row>
    <row r="831" spans="1:29" ht="12.75" customHeight="1" x14ac:dyDescent="0.25">
      <c r="L831" s="50"/>
      <c r="M831" s="50"/>
      <c r="N831" s="50"/>
      <c r="O831" s="51"/>
      <c r="P831" s="51"/>
      <c r="Q831" s="51"/>
      <c r="R831" s="50"/>
      <c r="S831" s="50"/>
      <c r="T831" s="50"/>
      <c r="U831" s="52"/>
      <c r="V831" s="51"/>
      <c r="W831" s="51"/>
      <c r="X831" s="51"/>
      <c r="Y831" s="51"/>
      <c r="Z831" s="51"/>
      <c r="AA831" s="51"/>
      <c r="AB831" s="51"/>
      <c r="AC831" s="51"/>
    </row>
    <row r="832" spans="1:29" ht="20.25" customHeight="1" x14ac:dyDescent="0.3">
      <c r="A832" s="53" t="s">
        <v>69</v>
      </c>
      <c r="B832" s="54"/>
      <c r="C832" s="54"/>
      <c r="D832" s="54"/>
      <c r="E832" s="54"/>
      <c r="F832" s="54"/>
      <c r="G832" s="54"/>
      <c r="H832" s="54"/>
      <c r="I832" s="54"/>
      <c r="J832" s="54"/>
      <c r="K832" s="55"/>
      <c r="L832" s="56">
        <v>15</v>
      </c>
      <c r="M832" s="56"/>
      <c r="N832" s="56"/>
      <c r="O832" s="56">
        <v>5</v>
      </c>
      <c r="P832" s="56"/>
      <c r="Q832" s="56"/>
      <c r="R832" s="56">
        <v>0</v>
      </c>
      <c r="S832" s="56"/>
      <c r="T832" s="56"/>
      <c r="U832" s="57"/>
      <c r="V832" s="56">
        <v>0</v>
      </c>
      <c r="W832" s="56"/>
      <c r="X832" s="56"/>
      <c r="Y832" s="56"/>
      <c r="Z832" s="56"/>
      <c r="AA832" s="89">
        <f>V832+R832+O832+L832</f>
        <v>20</v>
      </c>
      <c r="AB832" s="89"/>
      <c r="AC832" s="89"/>
    </row>
    <row r="833" spans="1:29" ht="20.25" customHeight="1" x14ac:dyDescent="0.3">
      <c r="A833" s="53" t="s">
        <v>34</v>
      </c>
      <c r="B833" s="54"/>
      <c r="C833" s="54"/>
      <c r="D833" s="54"/>
      <c r="E833" s="54"/>
      <c r="F833" s="54"/>
      <c r="G833" s="54"/>
      <c r="H833" s="54"/>
      <c r="I833" s="54"/>
      <c r="J833" s="54"/>
      <c r="K833" s="55"/>
      <c r="L833" s="56">
        <v>4</v>
      </c>
      <c r="M833" s="56"/>
      <c r="N833" s="56"/>
      <c r="O833" s="56">
        <v>0</v>
      </c>
      <c r="P833" s="56"/>
      <c r="Q833" s="56"/>
      <c r="R833" s="56">
        <v>0</v>
      </c>
      <c r="S833" s="56"/>
      <c r="T833" s="56"/>
      <c r="U833" s="57"/>
      <c r="V833" s="56">
        <v>3</v>
      </c>
      <c r="W833" s="56"/>
      <c r="X833" s="56"/>
      <c r="Y833" s="56"/>
      <c r="Z833" s="56"/>
      <c r="AA833" s="89">
        <f>V833+R833+O833+L833</f>
        <v>7</v>
      </c>
      <c r="AB833" s="89"/>
      <c r="AC833" s="89"/>
    </row>
    <row r="834" spans="1:29" ht="20.25" customHeight="1" x14ac:dyDescent="0.3">
      <c r="A834" s="53" t="s">
        <v>70</v>
      </c>
      <c r="B834" s="54"/>
      <c r="C834" s="54"/>
      <c r="D834" s="54"/>
      <c r="E834" s="54"/>
      <c r="F834" s="54"/>
      <c r="G834" s="54"/>
      <c r="H834" s="54"/>
      <c r="I834" s="54"/>
      <c r="J834" s="54"/>
      <c r="K834" s="55"/>
      <c r="L834" s="56">
        <v>0</v>
      </c>
      <c r="M834" s="56"/>
      <c r="N834" s="56"/>
      <c r="O834" s="56">
        <v>0</v>
      </c>
      <c r="P834" s="56"/>
      <c r="Q834" s="56"/>
      <c r="R834" s="56">
        <v>0</v>
      </c>
      <c r="S834" s="56"/>
      <c r="T834" s="56"/>
      <c r="U834" s="57"/>
      <c r="V834" s="56">
        <v>0</v>
      </c>
      <c r="W834" s="56"/>
      <c r="X834" s="56"/>
      <c r="Y834" s="56"/>
      <c r="Z834" s="56"/>
      <c r="AA834" s="89">
        <f>V834+R834+O834+L834</f>
        <v>0</v>
      </c>
      <c r="AB834" s="89"/>
      <c r="AC834" s="89"/>
    </row>
    <row r="835" spans="1:29" ht="21" customHeight="1" x14ac:dyDescent="0.3">
      <c r="A835" s="53" t="s">
        <v>35</v>
      </c>
      <c r="B835" s="54"/>
      <c r="C835" s="54"/>
      <c r="D835" s="54"/>
      <c r="E835" s="54"/>
      <c r="F835" s="54"/>
      <c r="G835" s="54"/>
      <c r="H835" s="54"/>
      <c r="I835" s="54"/>
      <c r="J835" s="54"/>
      <c r="K835" s="55"/>
      <c r="L835" s="56">
        <v>0</v>
      </c>
      <c r="M835" s="56"/>
      <c r="N835" s="56"/>
      <c r="O835" s="56">
        <v>0</v>
      </c>
      <c r="P835" s="56"/>
      <c r="Q835" s="56"/>
      <c r="R835" s="56">
        <v>0</v>
      </c>
      <c r="S835" s="56"/>
      <c r="T835" s="56"/>
      <c r="U835" s="57"/>
      <c r="V835" s="56">
        <v>0</v>
      </c>
      <c r="W835" s="56"/>
      <c r="X835" s="56"/>
      <c r="Y835" s="56"/>
      <c r="Z835" s="56"/>
      <c r="AA835" s="89">
        <f>V835+R835+O835+L835</f>
        <v>0</v>
      </c>
      <c r="AB835" s="89"/>
      <c r="AC835" s="89"/>
    </row>
    <row r="836" spans="1:29" ht="4.5" customHeight="1" x14ac:dyDescent="0.25"/>
    <row r="837" spans="1:29" ht="12.75" customHeight="1" x14ac:dyDescent="0.25">
      <c r="A837" s="95" t="s">
        <v>36</v>
      </c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</row>
    <row r="838" spans="1:29" ht="12.75" customHeight="1" x14ac:dyDescent="0.25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</row>
    <row r="839" spans="1:29" ht="0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7.25" customHeight="1" x14ac:dyDescent="0.25">
      <c r="J840" s="96" t="s">
        <v>9</v>
      </c>
      <c r="K840" s="97"/>
      <c r="L840" s="98" t="s">
        <v>10</v>
      </c>
      <c r="M840" s="94"/>
      <c r="N840" s="94" t="s">
        <v>3</v>
      </c>
      <c r="O840" s="94"/>
      <c r="P840" s="94" t="s">
        <v>4</v>
      </c>
      <c r="Q840" s="94"/>
      <c r="R840" s="94" t="s">
        <v>5</v>
      </c>
      <c r="S840" s="94"/>
      <c r="T840" s="94" t="s">
        <v>6</v>
      </c>
      <c r="U840" s="94"/>
      <c r="V840" s="94" t="s">
        <v>7</v>
      </c>
      <c r="W840" s="94"/>
      <c r="X840" s="94" t="s">
        <v>11</v>
      </c>
      <c r="Y840" s="94"/>
      <c r="Z840" s="99" t="s">
        <v>49</v>
      </c>
      <c r="AA840" s="99"/>
      <c r="AB840" s="94" t="s">
        <v>0</v>
      </c>
      <c r="AC840" s="94"/>
    </row>
    <row r="841" spans="1:29" ht="17.25" customHeight="1" x14ac:dyDescent="0.25">
      <c r="J841" s="2" t="s">
        <v>1</v>
      </c>
      <c r="K841" s="2" t="s">
        <v>2</v>
      </c>
      <c r="L841" s="2" t="s">
        <v>1</v>
      </c>
      <c r="M841" s="2" t="s">
        <v>2</v>
      </c>
      <c r="N841" s="2" t="s">
        <v>1</v>
      </c>
      <c r="O841" s="2" t="s">
        <v>2</v>
      </c>
      <c r="P841" s="2" t="s">
        <v>1</v>
      </c>
      <c r="Q841" s="2" t="s">
        <v>2</v>
      </c>
      <c r="R841" s="2" t="s">
        <v>1</v>
      </c>
      <c r="S841" s="2" t="s">
        <v>2</v>
      </c>
      <c r="T841" s="2" t="s">
        <v>1</v>
      </c>
      <c r="U841" s="2" t="s">
        <v>2</v>
      </c>
      <c r="V841" s="2" t="s">
        <v>1</v>
      </c>
      <c r="W841" s="2" t="s">
        <v>2</v>
      </c>
      <c r="X841" s="2" t="s">
        <v>1</v>
      </c>
      <c r="Y841" s="2" t="s">
        <v>2</v>
      </c>
      <c r="Z841" s="17" t="s">
        <v>1</v>
      </c>
      <c r="AA841" s="17" t="s">
        <v>2</v>
      </c>
      <c r="AB841" s="94"/>
      <c r="AC841" s="94"/>
    </row>
    <row r="842" spans="1:29" ht="18.75" customHeight="1" x14ac:dyDescent="0.25">
      <c r="A842" s="90" t="s">
        <v>71</v>
      </c>
      <c r="B842" s="91"/>
      <c r="C842" s="91"/>
      <c r="D842" s="91"/>
      <c r="E842" s="91"/>
      <c r="F842" s="91"/>
      <c r="G842" s="91"/>
      <c r="H842" s="91"/>
      <c r="I842" s="92"/>
      <c r="J842" s="14">
        <v>0</v>
      </c>
      <c r="K842" s="14">
        <v>0</v>
      </c>
      <c r="L842" s="14">
        <v>0</v>
      </c>
      <c r="M842" s="14">
        <v>0</v>
      </c>
      <c r="N842" s="14">
        <v>6</v>
      </c>
      <c r="O842" s="14">
        <v>3</v>
      </c>
      <c r="P842" s="14">
        <v>1</v>
      </c>
      <c r="Q842" s="14">
        <v>5</v>
      </c>
      <c r="R842" s="14">
        <v>2</v>
      </c>
      <c r="S842" s="14">
        <v>0</v>
      </c>
      <c r="T842" s="14">
        <v>0</v>
      </c>
      <c r="U842" s="14">
        <v>1</v>
      </c>
      <c r="V842" s="14">
        <v>1</v>
      </c>
      <c r="W842" s="14">
        <v>0</v>
      </c>
      <c r="X842" s="14">
        <v>1</v>
      </c>
      <c r="Y842" s="14">
        <v>0</v>
      </c>
      <c r="Z842" s="18">
        <f>X842+V842+T842+R842+P842+N842+L842+J842</f>
        <v>11</v>
      </c>
      <c r="AA842" s="18">
        <f>Y842+W842+U842+S842+Q842+O842+M842+K842</f>
        <v>9</v>
      </c>
      <c r="AB842" s="93">
        <f t="shared" ref="AB842:AB847" si="34">AA842+Z842</f>
        <v>20</v>
      </c>
      <c r="AC842" s="93"/>
    </row>
    <row r="843" spans="1:29" ht="18.75" customHeight="1" x14ac:dyDescent="0.25">
      <c r="A843" s="53" t="s">
        <v>37</v>
      </c>
      <c r="B843" s="54"/>
      <c r="C843" s="54"/>
      <c r="D843" s="54"/>
      <c r="E843" s="54"/>
      <c r="F843" s="54"/>
      <c r="G843" s="54"/>
      <c r="H843" s="54"/>
      <c r="I843" s="55"/>
      <c r="J843" s="29">
        <v>0</v>
      </c>
      <c r="K843" s="29">
        <v>0</v>
      </c>
      <c r="L843" s="29">
        <v>0</v>
      </c>
      <c r="M843" s="29">
        <v>0</v>
      </c>
      <c r="N843" s="29">
        <v>1</v>
      </c>
      <c r="O843" s="29">
        <v>1</v>
      </c>
      <c r="P843" s="29">
        <v>2</v>
      </c>
      <c r="Q843" s="29">
        <v>0</v>
      </c>
      <c r="R843" s="29">
        <v>0</v>
      </c>
      <c r="S843" s="29">
        <v>0</v>
      </c>
      <c r="T843" s="29">
        <v>0</v>
      </c>
      <c r="U843" s="29">
        <v>0</v>
      </c>
      <c r="V843" s="29">
        <v>0</v>
      </c>
      <c r="W843" s="29">
        <v>0</v>
      </c>
      <c r="X843" s="29">
        <v>0</v>
      </c>
      <c r="Y843" s="29">
        <v>0</v>
      </c>
      <c r="Z843" s="18">
        <f t="shared" ref="Z843:AA847" si="35">X843+V843+T843+R843+P843+N843+L843+J843</f>
        <v>3</v>
      </c>
      <c r="AA843" s="18">
        <f t="shared" si="35"/>
        <v>1</v>
      </c>
      <c r="AB843" s="93">
        <f t="shared" si="34"/>
        <v>4</v>
      </c>
      <c r="AC843" s="93"/>
    </row>
    <row r="844" spans="1:29" ht="24" customHeight="1" x14ac:dyDescent="0.25">
      <c r="A844" s="90" t="s">
        <v>72</v>
      </c>
      <c r="B844" s="91"/>
      <c r="C844" s="91"/>
      <c r="D844" s="91"/>
      <c r="E844" s="91"/>
      <c r="F844" s="91"/>
      <c r="G844" s="91"/>
      <c r="H844" s="91"/>
      <c r="I844" s="92"/>
      <c r="J844" s="29">
        <v>0</v>
      </c>
      <c r="K844" s="29">
        <v>0</v>
      </c>
      <c r="L844" s="29">
        <v>0</v>
      </c>
      <c r="M844" s="29">
        <v>0</v>
      </c>
      <c r="N844" s="29">
        <v>0</v>
      </c>
      <c r="O844" s="29">
        <v>0</v>
      </c>
      <c r="P844" s="29">
        <v>0</v>
      </c>
      <c r="Q844" s="29">
        <v>0</v>
      </c>
      <c r="R844" s="29">
        <v>0</v>
      </c>
      <c r="S844" s="29">
        <v>0</v>
      </c>
      <c r="T844" s="29">
        <v>0</v>
      </c>
      <c r="U844" s="29">
        <v>0</v>
      </c>
      <c r="V844" s="29">
        <v>0</v>
      </c>
      <c r="W844" s="29">
        <v>0</v>
      </c>
      <c r="X844" s="29">
        <v>0</v>
      </c>
      <c r="Y844" s="29">
        <v>0</v>
      </c>
      <c r="Z844" s="18">
        <f t="shared" si="35"/>
        <v>0</v>
      </c>
      <c r="AA844" s="18">
        <f t="shared" si="35"/>
        <v>0</v>
      </c>
      <c r="AB844" s="93">
        <f t="shared" si="34"/>
        <v>0</v>
      </c>
      <c r="AC844" s="93"/>
    </row>
    <row r="845" spans="1:29" ht="18.75" customHeight="1" x14ac:dyDescent="0.25">
      <c r="A845" s="90" t="s">
        <v>38</v>
      </c>
      <c r="B845" s="91"/>
      <c r="C845" s="91"/>
      <c r="D845" s="91"/>
      <c r="E845" s="91"/>
      <c r="F845" s="91"/>
      <c r="G845" s="91"/>
      <c r="H845" s="91"/>
      <c r="I845" s="92"/>
      <c r="J845" s="29">
        <v>0</v>
      </c>
      <c r="K845" s="29">
        <v>0</v>
      </c>
      <c r="L845" s="29">
        <v>0</v>
      </c>
      <c r="M845" s="29">
        <v>0</v>
      </c>
      <c r="N845" s="29">
        <v>0</v>
      </c>
      <c r="O845" s="29">
        <v>0</v>
      </c>
      <c r="P845" s="29">
        <v>0</v>
      </c>
      <c r="Q845" s="29">
        <v>0</v>
      </c>
      <c r="R845" s="29">
        <v>0</v>
      </c>
      <c r="S845" s="29">
        <v>0</v>
      </c>
      <c r="T845" s="29">
        <v>0</v>
      </c>
      <c r="U845" s="29">
        <v>0</v>
      </c>
      <c r="V845" s="29">
        <v>0</v>
      </c>
      <c r="W845" s="29">
        <v>0</v>
      </c>
      <c r="X845" s="29">
        <v>0</v>
      </c>
      <c r="Y845" s="29">
        <v>0</v>
      </c>
      <c r="Z845" s="18">
        <f t="shared" si="35"/>
        <v>0</v>
      </c>
      <c r="AA845" s="18">
        <f t="shared" si="35"/>
        <v>0</v>
      </c>
      <c r="AB845" s="93">
        <f t="shared" si="34"/>
        <v>0</v>
      </c>
      <c r="AC845" s="93"/>
    </row>
    <row r="846" spans="1:29" ht="18.75" customHeight="1" x14ac:dyDescent="0.25">
      <c r="A846" s="90" t="s">
        <v>39</v>
      </c>
      <c r="B846" s="91"/>
      <c r="C846" s="91"/>
      <c r="D846" s="91"/>
      <c r="E846" s="91"/>
      <c r="F846" s="91"/>
      <c r="G846" s="91"/>
      <c r="H846" s="91"/>
      <c r="I846" s="92"/>
      <c r="J846" s="29">
        <v>0</v>
      </c>
      <c r="K846" s="29">
        <v>0</v>
      </c>
      <c r="L846" s="29">
        <v>0</v>
      </c>
      <c r="M846" s="29">
        <v>0</v>
      </c>
      <c r="N846" s="29">
        <v>0</v>
      </c>
      <c r="O846" s="29">
        <v>0</v>
      </c>
      <c r="P846" s="29">
        <v>0</v>
      </c>
      <c r="Q846" s="29">
        <v>0</v>
      </c>
      <c r="R846" s="29">
        <v>0</v>
      </c>
      <c r="S846" s="29">
        <v>0</v>
      </c>
      <c r="T846" s="29">
        <v>0</v>
      </c>
      <c r="U846" s="29">
        <v>0</v>
      </c>
      <c r="V846" s="29">
        <v>0</v>
      </c>
      <c r="W846" s="29">
        <v>0</v>
      </c>
      <c r="X846" s="29">
        <v>0</v>
      </c>
      <c r="Y846" s="29">
        <v>0</v>
      </c>
      <c r="Z846" s="18">
        <f t="shared" si="35"/>
        <v>0</v>
      </c>
      <c r="AA846" s="18">
        <f t="shared" si="35"/>
        <v>0</v>
      </c>
      <c r="AB846" s="93">
        <f t="shared" si="34"/>
        <v>0</v>
      </c>
      <c r="AC846" s="93"/>
    </row>
    <row r="847" spans="1:29" ht="18.75" customHeight="1" x14ac:dyDescent="0.25">
      <c r="A847" s="90" t="s">
        <v>17</v>
      </c>
      <c r="B847" s="91"/>
      <c r="C847" s="91"/>
      <c r="D847" s="91"/>
      <c r="E847" s="91"/>
      <c r="F847" s="91"/>
      <c r="G847" s="91"/>
      <c r="H847" s="91"/>
      <c r="I847" s="92"/>
      <c r="J847" s="29">
        <v>0</v>
      </c>
      <c r="K847" s="29">
        <v>0</v>
      </c>
      <c r="L847" s="29">
        <v>0</v>
      </c>
      <c r="M847" s="29">
        <v>0</v>
      </c>
      <c r="N847" s="29">
        <v>0</v>
      </c>
      <c r="O847" s="29">
        <v>0</v>
      </c>
      <c r="P847" s="29">
        <v>0</v>
      </c>
      <c r="Q847" s="29">
        <v>0</v>
      </c>
      <c r="R847" s="29">
        <v>1</v>
      </c>
      <c r="S847" s="29">
        <v>0</v>
      </c>
      <c r="T847" s="29">
        <v>0</v>
      </c>
      <c r="U847" s="29">
        <v>0</v>
      </c>
      <c r="V847" s="29">
        <v>0</v>
      </c>
      <c r="W847" s="29">
        <v>1</v>
      </c>
      <c r="X847" s="29">
        <v>0</v>
      </c>
      <c r="Y847" s="29">
        <v>1</v>
      </c>
      <c r="Z847" s="18">
        <f t="shared" si="35"/>
        <v>1</v>
      </c>
      <c r="AA847" s="18">
        <f t="shared" si="35"/>
        <v>2</v>
      </c>
      <c r="AB847" s="93">
        <f t="shared" si="34"/>
        <v>3</v>
      </c>
      <c r="AC847" s="93"/>
    </row>
    <row r="848" spans="1:29" ht="9" customHeight="1" x14ac:dyDescent="0.25"/>
    <row r="849" spans="1:40" ht="1.5" hidden="1" customHeight="1" x14ac:dyDescent="0.25"/>
    <row r="850" spans="1:40" ht="15.75" x14ac:dyDescent="0.25">
      <c r="A850" s="4" t="s">
        <v>73</v>
      </c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N850" s="4" t="s">
        <v>20</v>
      </c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40" ht="15" customHeight="1" x14ac:dyDescent="0.25">
      <c r="A851" s="123" t="s">
        <v>74</v>
      </c>
      <c r="B851" s="123"/>
      <c r="C851" s="123"/>
      <c r="D851" s="123"/>
      <c r="E851" s="50" t="s">
        <v>75</v>
      </c>
      <c r="F851" s="50"/>
      <c r="G851" s="50"/>
      <c r="H851" s="50"/>
      <c r="I851" s="50" t="s">
        <v>76</v>
      </c>
      <c r="J851" s="50"/>
      <c r="K851" s="50"/>
      <c r="L851" s="50"/>
      <c r="M851" s="9"/>
      <c r="N851" s="124" t="s">
        <v>77</v>
      </c>
      <c r="O851" s="125"/>
      <c r="P851" s="125"/>
      <c r="Q851" s="125"/>
      <c r="R851" s="125"/>
      <c r="S851" s="126"/>
      <c r="T851" s="50" t="s">
        <v>21</v>
      </c>
      <c r="U851" s="50"/>
      <c r="V851" s="50" t="s">
        <v>22</v>
      </c>
      <c r="W851" s="50"/>
      <c r="X851" s="50"/>
      <c r="Y851" s="50"/>
      <c r="Z851" s="50"/>
      <c r="AA851" s="50" t="s">
        <v>23</v>
      </c>
      <c r="AB851" s="50"/>
      <c r="AC851" s="50"/>
      <c r="AD851" s="10"/>
      <c r="AE851" s="3"/>
      <c r="AG851" s="9"/>
      <c r="AH851" s="9"/>
      <c r="AI851" s="9"/>
      <c r="AJ851" s="9"/>
    </row>
    <row r="852" spans="1:40" ht="51" customHeight="1" x14ac:dyDescent="0.25">
      <c r="A852" s="123"/>
      <c r="B852" s="123"/>
      <c r="C852" s="123"/>
      <c r="D852" s="123"/>
      <c r="E852" s="50"/>
      <c r="F852" s="50"/>
      <c r="G852" s="50"/>
      <c r="H852" s="50"/>
      <c r="I852" s="50"/>
      <c r="J852" s="50"/>
      <c r="K852" s="50"/>
      <c r="L852" s="50"/>
      <c r="M852" s="20"/>
      <c r="N852" s="101"/>
      <c r="O852" s="102"/>
      <c r="P852" s="102"/>
      <c r="Q852" s="102"/>
      <c r="R852" s="102"/>
      <c r="S852" s="127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10"/>
      <c r="AE852" s="3"/>
      <c r="AG852" s="21"/>
      <c r="AH852" s="21"/>
      <c r="AI852" s="21"/>
      <c r="AJ852" s="9"/>
    </row>
    <row r="853" spans="1:40" ht="48.75" customHeight="1" x14ac:dyDescent="0.25">
      <c r="A853" s="50" t="s">
        <v>78</v>
      </c>
      <c r="B853" s="50"/>
      <c r="C853" s="52" t="s">
        <v>79</v>
      </c>
      <c r="D853" s="116"/>
      <c r="E853" s="50" t="s">
        <v>78</v>
      </c>
      <c r="F853" s="50"/>
      <c r="G853" s="50" t="s">
        <v>79</v>
      </c>
      <c r="H853" s="50"/>
      <c r="I853" s="117" t="s">
        <v>80</v>
      </c>
      <c r="J853" s="117"/>
      <c r="K853" s="50" t="s">
        <v>81</v>
      </c>
      <c r="L853" s="50"/>
      <c r="M853" s="20"/>
      <c r="N853" s="118" t="s">
        <v>82</v>
      </c>
      <c r="O853" s="119"/>
      <c r="P853" s="120"/>
      <c r="Q853" s="121" t="s">
        <v>83</v>
      </c>
      <c r="R853" s="122"/>
      <c r="S853" s="122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10"/>
      <c r="AE853" s="22"/>
      <c r="AG853" s="21"/>
      <c r="AH853" s="21"/>
      <c r="AI853" s="21"/>
      <c r="AJ853" s="9"/>
    </row>
    <row r="854" spans="1:40" ht="21.75" customHeight="1" x14ac:dyDescent="0.25">
      <c r="A854" s="56">
        <v>0</v>
      </c>
      <c r="B854" s="56"/>
      <c r="C854" s="114">
        <v>267</v>
      </c>
      <c r="D854" s="115"/>
      <c r="E854" s="50">
        <v>0</v>
      </c>
      <c r="F854" s="50"/>
      <c r="G854" s="50">
        <v>20</v>
      </c>
      <c r="H854" s="50"/>
      <c r="I854" s="134">
        <v>0</v>
      </c>
      <c r="J854" s="134"/>
      <c r="K854" s="134">
        <v>0</v>
      </c>
      <c r="L854" s="134"/>
      <c r="M854" s="20"/>
      <c r="N854" s="100">
        <v>27</v>
      </c>
      <c r="O854" s="100"/>
      <c r="P854" s="100"/>
      <c r="Q854" s="101">
        <v>18</v>
      </c>
      <c r="R854" s="102"/>
      <c r="S854" s="102"/>
      <c r="T854" s="103">
        <v>1</v>
      </c>
      <c r="U854" s="103"/>
      <c r="V854" s="103">
        <v>1</v>
      </c>
      <c r="W854" s="103"/>
      <c r="X854" s="103"/>
      <c r="Y854" s="103"/>
      <c r="Z854" s="103"/>
      <c r="AA854" s="104">
        <v>1</v>
      </c>
      <c r="AB854" s="104"/>
      <c r="AC854" s="104"/>
      <c r="AD854" s="22"/>
      <c r="AE854" s="23"/>
      <c r="AG854" s="9"/>
      <c r="AH854" s="9"/>
      <c r="AI854" s="9"/>
      <c r="AJ854" s="9"/>
    </row>
    <row r="855" spans="1:40" ht="6" customHeight="1" x14ac:dyDescent="0.25">
      <c r="L855" s="24"/>
      <c r="AG855" s="9"/>
      <c r="AH855" s="9"/>
      <c r="AI855" s="9"/>
      <c r="AJ855" s="9"/>
    </row>
    <row r="856" spans="1:40" ht="15.75" x14ac:dyDescent="0.25">
      <c r="A856" s="4" t="s">
        <v>24</v>
      </c>
      <c r="B856" s="19"/>
      <c r="C856" s="19"/>
      <c r="D856" s="19"/>
      <c r="E856" s="19"/>
      <c r="M856" s="19"/>
      <c r="N856" s="4" t="s">
        <v>25</v>
      </c>
      <c r="O856" s="19"/>
      <c r="AG856" s="9"/>
      <c r="AH856" s="9"/>
      <c r="AI856" s="9"/>
      <c r="AJ856" s="9"/>
    </row>
    <row r="857" spans="1:40" ht="15" customHeight="1" x14ac:dyDescent="0.25">
      <c r="A857" s="50" t="s">
        <v>26</v>
      </c>
      <c r="B857" s="50"/>
      <c r="C857" s="50"/>
      <c r="D857" s="50"/>
      <c r="E857" s="50"/>
      <c r="F857" s="105" t="s">
        <v>27</v>
      </c>
      <c r="G857" s="106"/>
      <c r="H857" s="106"/>
      <c r="I857" s="106"/>
      <c r="J857" s="106"/>
      <c r="K857" s="106"/>
      <c r="L857" s="107"/>
      <c r="M857" s="24"/>
      <c r="N857" s="50" t="s">
        <v>84</v>
      </c>
      <c r="O857" s="50"/>
      <c r="P857" s="50"/>
      <c r="Q857" s="50"/>
      <c r="R857" s="105" t="s">
        <v>28</v>
      </c>
      <c r="S857" s="106"/>
      <c r="T857" s="106"/>
      <c r="U857" s="107"/>
      <c r="V857" s="50" t="s">
        <v>29</v>
      </c>
      <c r="W857" s="50"/>
      <c r="X857" s="50"/>
      <c r="Y857" s="50"/>
      <c r="Z857" s="50"/>
      <c r="AA857" s="106" t="s">
        <v>85</v>
      </c>
      <c r="AB857" s="106"/>
      <c r="AC857" s="107"/>
    </row>
    <row r="858" spans="1:40" x14ac:dyDescent="0.25">
      <c r="A858" s="50"/>
      <c r="B858" s="50"/>
      <c r="C858" s="50"/>
      <c r="D858" s="50"/>
      <c r="E858" s="50"/>
      <c r="F858" s="108"/>
      <c r="G858" s="109"/>
      <c r="H858" s="109"/>
      <c r="I858" s="109"/>
      <c r="J858" s="109"/>
      <c r="K858" s="109"/>
      <c r="L858" s="110"/>
      <c r="M858" s="24"/>
      <c r="N858" s="50"/>
      <c r="O858" s="50"/>
      <c r="P858" s="50"/>
      <c r="Q858" s="50"/>
      <c r="R858" s="108"/>
      <c r="S858" s="109"/>
      <c r="T858" s="109"/>
      <c r="U858" s="110"/>
      <c r="V858" s="50"/>
      <c r="W858" s="50"/>
      <c r="X858" s="50"/>
      <c r="Y858" s="50"/>
      <c r="Z858" s="50"/>
      <c r="AA858" s="109"/>
      <c r="AB858" s="109"/>
      <c r="AC858" s="110"/>
    </row>
    <row r="859" spans="1:40" x14ac:dyDescent="0.25">
      <c r="A859" s="50"/>
      <c r="B859" s="50"/>
      <c r="C859" s="50"/>
      <c r="D859" s="50"/>
      <c r="E859" s="50"/>
      <c r="F859" s="111"/>
      <c r="G859" s="112"/>
      <c r="H859" s="112"/>
      <c r="I859" s="112"/>
      <c r="J859" s="112"/>
      <c r="K859" s="112"/>
      <c r="L859" s="113"/>
      <c r="M859" s="24"/>
      <c r="N859" s="50"/>
      <c r="O859" s="50"/>
      <c r="P859" s="50"/>
      <c r="Q859" s="50"/>
      <c r="R859" s="111"/>
      <c r="S859" s="112"/>
      <c r="T859" s="112"/>
      <c r="U859" s="113"/>
      <c r="V859" s="50"/>
      <c r="W859" s="50"/>
      <c r="X859" s="50"/>
      <c r="Y859" s="50"/>
      <c r="Z859" s="50"/>
      <c r="AA859" s="112"/>
      <c r="AB859" s="112"/>
      <c r="AC859" s="113"/>
    </row>
    <row r="860" spans="1:40" ht="21.75" customHeight="1" x14ac:dyDescent="0.25">
      <c r="A860" s="134">
        <v>12</v>
      </c>
      <c r="B860" s="134"/>
      <c r="C860" s="134"/>
      <c r="D860" s="134"/>
      <c r="E860" s="134"/>
      <c r="F860" s="143">
        <v>0</v>
      </c>
      <c r="G860" s="135"/>
      <c r="H860" s="135"/>
      <c r="I860" s="135"/>
      <c r="J860" s="135"/>
      <c r="K860" s="135"/>
      <c r="L860" s="136"/>
      <c r="M860" s="24"/>
      <c r="N860" s="50">
        <v>3</v>
      </c>
      <c r="O860" s="50"/>
      <c r="P860" s="50"/>
      <c r="Q860" s="50"/>
      <c r="R860" s="111">
        <v>15</v>
      </c>
      <c r="S860" s="112"/>
      <c r="T860" s="112"/>
      <c r="U860" s="113"/>
      <c r="V860" s="50">
        <v>64</v>
      </c>
      <c r="W860" s="50"/>
      <c r="X860" s="50"/>
      <c r="Y860" s="50"/>
      <c r="Z860" s="50"/>
      <c r="AA860" s="135">
        <v>0</v>
      </c>
      <c r="AB860" s="135"/>
      <c r="AC860" s="136"/>
    </row>
    <row r="861" spans="1:40" x14ac:dyDescent="0.25">
      <c r="A861" s="16"/>
      <c r="B861" s="16" t="s">
        <v>86</v>
      </c>
      <c r="C861" s="7" t="s">
        <v>87</v>
      </c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40" x14ac:dyDescent="0.25">
      <c r="A862" s="16"/>
      <c r="B862" s="16" t="s">
        <v>12</v>
      </c>
      <c r="C862" s="7" t="s">
        <v>88</v>
      </c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40" x14ac:dyDescent="0.25">
      <c r="A863" s="128"/>
      <c r="B863" s="16" t="s">
        <v>13</v>
      </c>
      <c r="C863" s="7" t="s">
        <v>89</v>
      </c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40" ht="15" customHeight="1" x14ac:dyDescent="0.25">
      <c r="A864" s="128"/>
      <c r="B864" s="128" t="s">
        <v>14</v>
      </c>
      <c r="C864" s="137" t="s">
        <v>90</v>
      </c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27"/>
      <c r="AN864" s="15">
        <f ca="1">AN864:AO864</f>
        <v>0</v>
      </c>
    </row>
    <row r="865" spans="1:30" x14ac:dyDescent="0.25">
      <c r="B865" s="128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27"/>
    </row>
    <row r="866" spans="1:30" ht="12.75" customHeight="1" x14ac:dyDescent="0.25">
      <c r="M866" s="129" t="s">
        <v>19</v>
      </c>
      <c r="N866" s="129"/>
      <c r="O866" s="129"/>
      <c r="P866" s="129"/>
      <c r="Q866" s="129"/>
      <c r="R866" s="129"/>
      <c r="S866" s="11"/>
    </row>
    <row r="867" spans="1:30" x14ac:dyDescent="0.25">
      <c r="L867" s="12"/>
      <c r="M867" s="12"/>
      <c r="N867" s="12"/>
      <c r="O867" s="12"/>
      <c r="P867" s="13"/>
      <c r="R867" s="11"/>
      <c r="S867" s="11"/>
    </row>
    <row r="868" spans="1:30" x14ac:dyDescent="0.25">
      <c r="L868" s="9"/>
      <c r="R868" s="25"/>
      <c r="S868" s="25"/>
      <c r="T868" s="9"/>
      <c r="U868" s="9"/>
      <c r="V868" s="9"/>
      <c r="W868" s="9"/>
      <c r="X868" s="9"/>
      <c r="Y868" s="9"/>
      <c r="Z868" s="9"/>
    </row>
    <row r="869" spans="1:30" ht="15.75" x14ac:dyDescent="0.25">
      <c r="L869" s="25"/>
      <c r="M869" s="130" t="s">
        <v>97</v>
      </c>
      <c r="N869" s="130"/>
      <c r="O869" s="130"/>
      <c r="P869" s="130"/>
      <c r="Q869" s="130"/>
      <c r="R869" s="130"/>
      <c r="S869" s="25"/>
      <c r="T869" s="9"/>
      <c r="U869" s="9"/>
      <c r="V869" s="9"/>
      <c r="W869" s="9"/>
      <c r="X869" s="9"/>
      <c r="Y869" s="9"/>
      <c r="Z869" s="9"/>
    </row>
    <row r="870" spans="1:30" ht="15.75" x14ac:dyDescent="0.25">
      <c r="L870" s="25"/>
      <c r="M870" s="131" t="s">
        <v>98</v>
      </c>
      <c r="N870" s="131"/>
      <c r="O870" s="131"/>
      <c r="P870" s="131"/>
      <c r="Q870" s="131"/>
      <c r="R870" s="131"/>
      <c r="S870" s="25"/>
      <c r="T870" s="9"/>
      <c r="U870" s="9"/>
      <c r="V870" s="9"/>
      <c r="W870" s="9"/>
      <c r="X870" s="9"/>
      <c r="Y870" s="9"/>
      <c r="Z870" s="9"/>
    </row>
    <row r="872" spans="1:30" ht="12.75" customHeight="1" x14ac:dyDescent="0.25"/>
    <row r="873" spans="1:30" ht="12.75" customHeight="1" x14ac:dyDescent="0.25"/>
    <row r="874" spans="1:30" ht="12.75" customHeight="1" x14ac:dyDescent="0.25">
      <c r="A874" s="34" t="s">
        <v>41</v>
      </c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spans="1:30" ht="12" customHeight="1" x14ac:dyDescent="0.25">
      <c r="A875" s="35" t="s">
        <v>30</v>
      </c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</row>
    <row r="876" spans="1:30" ht="12" customHeight="1" x14ac:dyDescent="0.25">
      <c r="A876" s="35" t="s">
        <v>46</v>
      </c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</row>
    <row r="877" spans="1:30" ht="12" customHeight="1" x14ac:dyDescent="0.25">
      <c r="A877" s="36" t="s">
        <v>62</v>
      </c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</row>
    <row r="878" spans="1:30" ht="12" customHeight="1" x14ac:dyDescent="0.25">
      <c r="A878" s="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30" ht="12" customHeight="1" x14ac:dyDescent="0.25">
      <c r="A879" s="37" t="s">
        <v>63</v>
      </c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 spans="1:30" ht="6" customHeight="1" x14ac:dyDescent="0.25"/>
    <row r="881" spans="1:29" ht="12.75" customHeight="1" x14ac:dyDescent="0.25">
      <c r="A881" s="38" t="s">
        <v>64</v>
      </c>
      <c r="B881" s="39"/>
      <c r="C881" s="39"/>
      <c r="D881" s="39"/>
      <c r="E881" s="39"/>
      <c r="F881" s="39"/>
      <c r="G881" s="39"/>
      <c r="H881" s="40"/>
      <c r="I881" s="38" t="s">
        <v>65</v>
      </c>
      <c r="J881" s="39"/>
      <c r="K881" s="39"/>
      <c r="L881" s="39"/>
      <c r="M881" s="39"/>
      <c r="N881" s="39"/>
      <c r="O881" s="39"/>
      <c r="P881" s="39"/>
      <c r="Q881" s="40"/>
      <c r="R881" s="38" t="s">
        <v>18</v>
      </c>
      <c r="S881" s="39"/>
      <c r="T881" s="39"/>
      <c r="U881" s="40"/>
      <c r="V881" s="41" t="s">
        <v>66</v>
      </c>
      <c r="W881" s="42"/>
      <c r="X881" s="42"/>
      <c r="Y881" s="42"/>
      <c r="Z881" s="42"/>
      <c r="AA881" s="42"/>
      <c r="AB881" s="42"/>
      <c r="AC881" s="43"/>
    </row>
    <row r="882" spans="1:29" ht="12.75" customHeight="1" x14ac:dyDescent="0.25">
      <c r="A882" s="47" t="s">
        <v>40</v>
      </c>
      <c r="B882" s="48"/>
      <c r="C882" s="48"/>
      <c r="D882" s="48"/>
      <c r="E882" s="48"/>
      <c r="F882" s="48"/>
      <c r="G882" s="48"/>
      <c r="H882" s="49"/>
      <c r="I882" s="47" t="s">
        <v>61</v>
      </c>
      <c r="J882" s="48"/>
      <c r="K882" s="48"/>
      <c r="L882" s="48"/>
      <c r="M882" s="48"/>
      <c r="N882" s="48"/>
      <c r="O882" s="48"/>
      <c r="P882" s="48"/>
      <c r="Q882" s="49"/>
      <c r="R882" s="58">
        <v>2025</v>
      </c>
      <c r="S882" s="59"/>
      <c r="T882" s="59"/>
      <c r="U882" s="60"/>
      <c r="V882" s="44"/>
      <c r="W882" s="45"/>
      <c r="X882" s="45"/>
      <c r="Y882" s="45"/>
      <c r="Z882" s="45"/>
      <c r="AA882" s="45"/>
      <c r="AB882" s="45"/>
      <c r="AC882" s="46"/>
    </row>
    <row r="883" spans="1:29" ht="12.75" customHeight="1" x14ac:dyDescent="0.25">
      <c r="A883" s="61" t="s">
        <v>67</v>
      </c>
      <c r="B883" s="62"/>
      <c r="C883" s="62"/>
      <c r="D883" s="62"/>
      <c r="E883" s="62"/>
      <c r="F883" s="62"/>
      <c r="G883" s="62"/>
      <c r="H883" s="63"/>
      <c r="I883" s="38" t="s">
        <v>68</v>
      </c>
      <c r="J883" s="39"/>
      <c r="K883" s="39"/>
      <c r="L883" s="39"/>
      <c r="M883" s="39"/>
      <c r="N883" s="39"/>
      <c r="O883" s="39"/>
      <c r="P883" s="39"/>
      <c r="Q883" s="40"/>
      <c r="R883" s="64" t="s">
        <v>91</v>
      </c>
      <c r="S883" s="39"/>
      <c r="T883" s="39"/>
      <c r="U883" s="40"/>
      <c r="V883" s="65"/>
      <c r="W883" s="66"/>
      <c r="X883" s="66"/>
      <c r="Y883" s="66"/>
      <c r="Z883" s="66"/>
      <c r="AA883" s="66"/>
      <c r="AB883" s="66"/>
      <c r="AC883" s="67"/>
    </row>
    <row r="884" spans="1:29" ht="12.75" customHeight="1" x14ac:dyDescent="0.25">
      <c r="A884" s="71" t="s">
        <v>61</v>
      </c>
      <c r="B884" s="72"/>
      <c r="C884" s="72"/>
      <c r="D884" s="72"/>
      <c r="E884" s="72"/>
      <c r="F884" s="72"/>
      <c r="G884" s="72"/>
      <c r="H884" s="73"/>
      <c r="I884" s="77" t="s">
        <v>60</v>
      </c>
      <c r="J884" s="78"/>
      <c r="K884" s="78"/>
      <c r="L884" s="78"/>
      <c r="M884" s="78"/>
      <c r="N884" s="78"/>
      <c r="O884" s="78"/>
      <c r="P884" s="78"/>
      <c r="Q884" s="79"/>
      <c r="R884" s="83" t="s">
        <v>44</v>
      </c>
      <c r="S884" s="84"/>
      <c r="T884" s="84"/>
      <c r="U884" s="85"/>
      <c r="V884" s="65"/>
      <c r="W884" s="66"/>
      <c r="X884" s="66"/>
      <c r="Y884" s="66"/>
      <c r="Z884" s="66"/>
      <c r="AA884" s="66"/>
      <c r="AB884" s="66"/>
      <c r="AC884" s="67"/>
    </row>
    <row r="885" spans="1:29" ht="6.75" customHeight="1" x14ac:dyDescent="0.25">
      <c r="A885" s="74"/>
      <c r="B885" s="75"/>
      <c r="C885" s="75"/>
      <c r="D885" s="75"/>
      <c r="E885" s="75"/>
      <c r="F885" s="75"/>
      <c r="G885" s="75"/>
      <c r="H885" s="76"/>
      <c r="I885" s="80"/>
      <c r="J885" s="81"/>
      <c r="K885" s="81"/>
      <c r="L885" s="81"/>
      <c r="M885" s="81"/>
      <c r="N885" s="81"/>
      <c r="O885" s="81"/>
      <c r="P885" s="81"/>
      <c r="Q885" s="82"/>
      <c r="R885" s="86"/>
      <c r="S885" s="87"/>
      <c r="T885" s="87"/>
      <c r="U885" s="88"/>
      <c r="V885" s="68"/>
      <c r="W885" s="69"/>
      <c r="X885" s="69"/>
      <c r="Y885" s="69"/>
      <c r="Z885" s="69"/>
      <c r="AA885" s="69"/>
      <c r="AB885" s="69"/>
      <c r="AC885" s="70"/>
    </row>
    <row r="886" spans="1:29" ht="10.5" customHeight="1" x14ac:dyDescent="0.25"/>
    <row r="887" spans="1:29" ht="12" customHeight="1" x14ac:dyDescent="0.25">
      <c r="A887" s="4" t="s">
        <v>31</v>
      </c>
    </row>
    <row r="888" spans="1:29" ht="12.75" customHeight="1" x14ac:dyDescent="0.25">
      <c r="L888" s="50" t="s">
        <v>15</v>
      </c>
      <c r="M888" s="50"/>
      <c r="N888" s="50"/>
      <c r="O888" s="51" t="s">
        <v>16</v>
      </c>
      <c r="P888" s="51"/>
      <c r="Q888" s="51"/>
      <c r="R888" s="50" t="s">
        <v>32</v>
      </c>
      <c r="S888" s="50"/>
      <c r="T888" s="50"/>
      <c r="U888" s="52"/>
      <c r="V888" s="51" t="s">
        <v>33</v>
      </c>
      <c r="W888" s="51"/>
      <c r="X888" s="51"/>
      <c r="Y888" s="51"/>
      <c r="Z888" s="51"/>
      <c r="AA888" s="51" t="s">
        <v>0</v>
      </c>
      <c r="AB888" s="51"/>
      <c r="AC888" s="51"/>
    </row>
    <row r="889" spans="1:29" ht="12.75" customHeight="1" x14ac:dyDescent="0.25">
      <c r="L889" s="50"/>
      <c r="M889" s="50"/>
      <c r="N889" s="50"/>
      <c r="O889" s="51"/>
      <c r="P889" s="51"/>
      <c r="Q889" s="51"/>
      <c r="R889" s="50"/>
      <c r="S889" s="50"/>
      <c r="T889" s="50"/>
      <c r="U889" s="52"/>
      <c r="V889" s="51"/>
      <c r="W889" s="51"/>
      <c r="X889" s="51"/>
      <c r="Y889" s="51"/>
      <c r="Z889" s="51"/>
      <c r="AA889" s="51"/>
      <c r="AB889" s="51"/>
      <c r="AC889" s="51"/>
    </row>
    <row r="890" spans="1:29" ht="20.25" customHeight="1" x14ac:dyDescent="0.3">
      <c r="A890" s="53" t="s">
        <v>69</v>
      </c>
      <c r="B890" s="54"/>
      <c r="C890" s="54"/>
      <c r="D890" s="54"/>
      <c r="E890" s="54"/>
      <c r="F890" s="54"/>
      <c r="G890" s="54"/>
      <c r="H890" s="54"/>
      <c r="I890" s="54"/>
      <c r="J890" s="54"/>
      <c r="K890" s="55"/>
      <c r="L890" s="132">
        <f>L832+L774+L716</f>
        <v>51</v>
      </c>
      <c r="M890" s="132"/>
      <c r="N890" s="132"/>
      <c r="O890" s="132">
        <f>O832+O774+O716</f>
        <v>11</v>
      </c>
      <c r="P890" s="132"/>
      <c r="Q890" s="132"/>
      <c r="R890" s="132">
        <f>R832+R774+R716</f>
        <v>0</v>
      </c>
      <c r="S890" s="132"/>
      <c r="T890" s="132"/>
      <c r="U890" s="133"/>
      <c r="V890" s="132">
        <f>V832+V774+V716</f>
        <v>0</v>
      </c>
      <c r="W890" s="132"/>
      <c r="X890" s="132"/>
      <c r="Y890" s="132"/>
      <c r="Z890" s="132"/>
      <c r="AA890" s="89">
        <f>V890+R890+O890+L890</f>
        <v>62</v>
      </c>
      <c r="AB890" s="89"/>
      <c r="AC890" s="89"/>
    </row>
    <row r="891" spans="1:29" ht="20.25" customHeight="1" x14ac:dyDescent="0.3">
      <c r="A891" s="53" t="s">
        <v>34</v>
      </c>
      <c r="B891" s="54"/>
      <c r="C891" s="54"/>
      <c r="D891" s="54"/>
      <c r="E891" s="54"/>
      <c r="F891" s="54"/>
      <c r="G891" s="54"/>
      <c r="H891" s="54"/>
      <c r="I891" s="54"/>
      <c r="J891" s="54"/>
      <c r="K891" s="55"/>
      <c r="L891" s="132">
        <f>L833+L775+L717</f>
        <v>22</v>
      </c>
      <c r="M891" s="132"/>
      <c r="N891" s="132"/>
      <c r="O891" s="132">
        <f>O833+O775+O717</f>
        <v>0</v>
      </c>
      <c r="P891" s="132"/>
      <c r="Q891" s="132"/>
      <c r="R891" s="132">
        <f>R833+R775+R717</f>
        <v>0</v>
      </c>
      <c r="S891" s="132"/>
      <c r="T891" s="132"/>
      <c r="U891" s="133"/>
      <c r="V891" s="132">
        <f>V833+V775+V717</f>
        <v>5</v>
      </c>
      <c r="W891" s="132"/>
      <c r="X891" s="132"/>
      <c r="Y891" s="132"/>
      <c r="Z891" s="132"/>
      <c r="AA891" s="89">
        <f>V891+R891+O891+L891</f>
        <v>27</v>
      </c>
      <c r="AB891" s="89"/>
      <c r="AC891" s="89"/>
    </row>
    <row r="892" spans="1:29" ht="20.25" customHeight="1" x14ac:dyDescent="0.3">
      <c r="A892" s="53" t="s">
        <v>70</v>
      </c>
      <c r="B892" s="54"/>
      <c r="C892" s="54"/>
      <c r="D892" s="54"/>
      <c r="E892" s="54"/>
      <c r="F892" s="54"/>
      <c r="G892" s="54"/>
      <c r="H892" s="54"/>
      <c r="I892" s="54"/>
      <c r="J892" s="54"/>
      <c r="K892" s="55"/>
      <c r="L892" s="132">
        <f>L834+L776+L718</f>
        <v>0</v>
      </c>
      <c r="M892" s="132"/>
      <c r="N892" s="132"/>
      <c r="O892" s="132">
        <f>O834+O776+O718</f>
        <v>0</v>
      </c>
      <c r="P892" s="132"/>
      <c r="Q892" s="132"/>
      <c r="R892" s="132">
        <f>R834+R776+R718</f>
        <v>0</v>
      </c>
      <c r="S892" s="132"/>
      <c r="T892" s="132"/>
      <c r="U892" s="133"/>
      <c r="V892" s="132">
        <f>V834+V776+V718</f>
        <v>0</v>
      </c>
      <c r="W892" s="132"/>
      <c r="X892" s="132"/>
      <c r="Y892" s="132"/>
      <c r="Z892" s="132"/>
      <c r="AA892" s="89">
        <f>V892+R892+O892+L892</f>
        <v>0</v>
      </c>
      <c r="AB892" s="89"/>
      <c r="AC892" s="89"/>
    </row>
    <row r="893" spans="1:29" ht="21" customHeight="1" x14ac:dyDescent="0.3">
      <c r="A893" s="53" t="s">
        <v>35</v>
      </c>
      <c r="B893" s="54"/>
      <c r="C893" s="54"/>
      <c r="D893" s="54"/>
      <c r="E893" s="54"/>
      <c r="F893" s="54"/>
      <c r="G893" s="54"/>
      <c r="H893" s="54"/>
      <c r="I893" s="54"/>
      <c r="J893" s="54"/>
      <c r="K893" s="55"/>
      <c r="L893" s="132">
        <f>L835+L777+L719</f>
        <v>0</v>
      </c>
      <c r="M893" s="132"/>
      <c r="N893" s="132"/>
      <c r="O893" s="132">
        <f>O835+O777+O719</f>
        <v>0</v>
      </c>
      <c r="P893" s="132"/>
      <c r="Q893" s="132"/>
      <c r="R893" s="132">
        <f>R835+R777+R719</f>
        <v>0</v>
      </c>
      <c r="S893" s="132"/>
      <c r="T893" s="132"/>
      <c r="U893" s="133"/>
      <c r="V893" s="132">
        <f>V835+V777+V719</f>
        <v>0</v>
      </c>
      <c r="W893" s="132"/>
      <c r="X893" s="132"/>
      <c r="Y893" s="132"/>
      <c r="Z893" s="132"/>
      <c r="AA893" s="89">
        <f>V893+R893+O893+L893</f>
        <v>0</v>
      </c>
      <c r="AB893" s="89"/>
      <c r="AC893" s="89"/>
    </row>
    <row r="894" spans="1:29" ht="4.5" customHeight="1" x14ac:dyDescent="0.25"/>
    <row r="895" spans="1:29" ht="12.75" customHeight="1" x14ac:dyDescent="0.25">
      <c r="A895" s="95" t="s">
        <v>36</v>
      </c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</row>
    <row r="896" spans="1:29" ht="12.75" customHeight="1" x14ac:dyDescent="0.25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</row>
    <row r="897" spans="1:36" ht="0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36" ht="17.25" customHeight="1" x14ac:dyDescent="0.25">
      <c r="J898" s="96" t="s">
        <v>9</v>
      </c>
      <c r="K898" s="97"/>
      <c r="L898" s="98" t="s">
        <v>10</v>
      </c>
      <c r="M898" s="94"/>
      <c r="N898" s="94" t="s">
        <v>3</v>
      </c>
      <c r="O898" s="94"/>
      <c r="P898" s="94" t="s">
        <v>4</v>
      </c>
      <c r="Q898" s="94"/>
      <c r="R898" s="94" t="s">
        <v>5</v>
      </c>
      <c r="S898" s="94"/>
      <c r="T898" s="94" t="s">
        <v>6</v>
      </c>
      <c r="U898" s="94"/>
      <c r="V898" s="94" t="s">
        <v>7</v>
      </c>
      <c r="W898" s="94"/>
      <c r="X898" s="94" t="s">
        <v>11</v>
      </c>
      <c r="Y898" s="94"/>
      <c r="Z898" s="99" t="s">
        <v>49</v>
      </c>
      <c r="AA898" s="99"/>
      <c r="AB898" s="94" t="s">
        <v>0</v>
      </c>
      <c r="AC898" s="94"/>
    </row>
    <row r="899" spans="1:36" ht="17.25" customHeight="1" x14ac:dyDescent="0.25">
      <c r="J899" s="2" t="s">
        <v>1</v>
      </c>
      <c r="K899" s="2" t="s">
        <v>2</v>
      </c>
      <c r="L899" s="2" t="s">
        <v>1</v>
      </c>
      <c r="M899" s="2" t="s">
        <v>2</v>
      </c>
      <c r="N899" s="2" t="s">
        <v>1</v>
      </c>
      <c r="O899" s="2" t="s">
        <v>2</v>
      </c>
      <c r="P899" s="2" t="s">
        <v>1</v>
      </c>
      <c r="Q899" s="2" t="s">
        <v>2</v>
      </c>
      <c r="R899" s="2" t="s">
        <v>1</v>
      </c>
      <c r="S899" s="2" t="s">
        <v>2</v>
      </c>
      <c r="T899" s="2" t="s">
        <v>1</v>
      </c>
      <c r="U899" s="2" t="s">
        <v>2</v>
      </c>
      <c r="V899" s="2" t="s">
        <v>1</v>
      </c>
      <c r="W899" s="2" t="s">
        <v>2</v>
      </c>
      <c r="X899" s="2" t="s">
        <v>1</v>
      </c>
      <c r="Y899" s="2" t="s">
        <v>2</v>
      </c>
      <c r="Z899" s="17" t="s">
        <v>1</v>
      </c>
      <c r="AA899" s="17" t="s">
        <v>2</v>
      </c>
      <c r="AB899" s="94"/>
      <c r="AC899" s="94"/>
    </row>
    <row r="900" spans="1:36" ht="18.75" customHeight="1" x14ac:dyDescent="0.25">
      <c r="A900" s="90" t="s">
        <v>71</v>
      </c>
      <c r="B900" s="91"/>
      <c r="C900" s="91"/>
      <c r="D900" s="91"/>
      <c r="E900" s="91"/>
      <c r="F900" s="91"/>
      <c r="G900" s="91"/>
      <c r="H900" s="91"/>
      <c r="I900" s="92"/>
      <c r="J900" s="26">
        <f>J842+J784+J726</f>
        <v>0</v>
      </c>
      <c r="K900" s="26">
        <f t="shared" ref="K900:Y900" si="36">K842+K784+K726</f>
        <v>0</v>
      </c>
      <c r="L900" s="26">
        <f t="shared" si="36"/>
        <v>1</v>
      </c>
      <c r="M900" s="26">
        <f t="shared" si="36"/>
        <v>0</v>
      </c>
      <c r="N900" s="26">
        <f t="shared" si="36"/>
        <v>12</v>
      </c>
      <c r="O900" s="26">
        <f t="shared" si="36"/>
        <v>5</v>
      </c>
      <c r="P900" s="26">
        <f t="shared" si="36"/>
        <v>9</v>
      </c>
      <c r="Q900" s="26">
        <f t="shared" si="36"/>
        <v>7</v>
      </c>
      <c r="R900" s="26">
        <f t="shared" si="36"/>
        <v>9</v>
      </c>
      <c r="S900" s="26">
        <f t="shared" si="36"/>
        <v>1</v>
      </c>
      <c r="T900" s="26">
        <f t="shared" si="36"/>
        <v>2</v>
      </c>
      <c r="U900" s="26">
        <f t="shared" si="36"/>
        <v>5</v>
      </c>
      <c r="V900" s="26">
        <f t="shared" si="36"/>
        <v>4</v>
      </c>
      <c r="W900" s="26">
        <f t="shared" si="36"/>
        <v>2</v>
      </c>
      <c r="X900" s="26">
        <f t="shared" si="36"/>
        <v>3</v>
      </c>
      <c r="Y900" s="26">
        <f t="shared" si="36"/>
        <v>2</v>
      </c>
      <c r="Z900" s="18">
        <f>X900+V900+T900+R900+P900+N900+L900+J900</f>
        <v>40</v>
      </c>
      <c r="AA900" s="18">
        <f>Y900+W900+U900+S900+Q900+O900+M900+K900</f>
        <v>22</v>
      </c>
      <c r="AB900" s="93">
        <f t="shared" ref="AB900:AB905" si="37">AA900+Z900</f>
        <v>62</v>
      </c>
      <c r="AC900" s="93"/>
    </row>
    <row r="901" spans="1:36" ht="18.75" customHeight="1" x14ac:dyDescent="0.25">
      <c r="A901" s="53" t="s">
        <v>37</v>
      </c>
      <c r="B901" s="54"/>
      <c r="C901" s="54"/>
      <c r="D901" s="54"/>
      <c r="E901" s="54"/>
      <c r="F901" s="54"/>
      <c r="G901" s="54"/>
      <c r="H901" s="54"/>
      <c r="I901" s="55"/>
      <c r="J901" s="26">
        <f t="shared" ref="J901:Y905" si="38">J843+J785+J727</f>
        <v>0</v>
      </c>
      <c r="K901" s="26">
        <f t="shared" si="38"/>
        <v>0</v>
      </c>
      <c r="L901" s="26">
        <f t="shared" si="38"/>
        <v>1</v>
      </c>
      <c r="M901" s="26">
        <f t="shared" si="38"/>
        <v>1</v>
      </c>
      <c r="N901" s="26">
        <f t="shared" si="38"/>
        <v>2</v>
      </c>
      <c r="O901" s="26">
        <f t="shared" si="38"/>
        <v>2</v>
      </c>
      <c r="P901" s="26">
        <f t="shared" si="38"/>
        <v>5</v>
      </c>
      <c r="Q901" s="26">
        <f t="shared" si="38"/>
        <v>2</v>
      </c>
      <c r="R901" s="26">
        <f t="shared" si="38"/>
        <v>0</v>
      </c>
      <c r="S901" s="26">
        <f t="shared" si="38"/>
        <v>1</v>
      </c>
      <c r="T901" s="26">
        <f t="shared" si="38"/>
        <v>0</v>
      </c>
      <c r="U901" s="26">
        <f t="shared" si="38"/>
        <v>1</v>
      </c>
      <c r="V901" s="26">
        <f t="shared" si="38"/>
        <v>4</v>
      </c>
      <c r="W901" s="26">
        <f t="shared" si="38"/>
        <v>1</v>
      </c>
      <c r="X901" s="26">
        <f t="shared" si="38"/>
        <v>1</v>
      </c>
      <c r="Y901" s="26">
        <f t="shared" si="38"/>
        <v>1</v>
      </c>
      <c r="Z901" s="18">
        <f t="shared" ref="Z901:AA905" si="39">X901+V901+T901+R901+P901+N901+L901+J901</f>
        <v>13</v>
      </c>
      <c r="AA901" s="18">
        <f t="shared" si="39"/>
        <v>9</v>
      </c>
      <c r="AB901" s="93">
        <f t="shared" si="37"/>
        <v>22</v>
      </c>
      <c r="AC901" s="93"/>
    </row>
    <row r="902" spans="1:36" ht="24" customHeight="1" x14ac:dyDescent="0.25">
      <c r="A902" s="90" t="s">
        <v>72</v>
      </c>
      <c r="B902" s="91"/>
      <c r="C902" s="91"/>
      <c r="D902" s="91"/>
      <c r="E902" s="91"/>
      <c r="F902" s="91"/>
      <c r="G902" s="91"/>
      <c r="H902" s="91"/>
      <c r="I902" s="92"/>
      <c r="J902" s="26">
        <f t="shared" si="38"/>
        <v>0</v>
      </c>
      <c r="K902" s="26">
        <f t="shared" si="38"/>
        <v>0</v>
      </c>
      <c r="L902" s="26">
        <f t="shared" si="38"/>
        <v>0</v>
      </c>
      <c r="M902" s="26">
        <f t="shared" si="38"/>
        <v>0</v>
      </c>
      <c r="N902" s="26">
        <f t="shared" si="38"/>
        <v>0</v>
      </c>
      <c r="O902" s="26">
        <f t="shared" si="38"/>
        <v>0</v>
      </c>
      <c r="P902" s="26">
        <f t="shared" si="38"/>
        <v>0</v>
      </c>
      <c r="Q902" s="26">
        <f t="shared" si="38"/>
        <v>0</v>
      </c>
      <c r="R902" s="26">
        <f t="shared" si="38"/>
        <v>0</v>
      </c>
      <c r="S902" s="26">
        <f t="shared" si="38"/>
        <v>0</v>
      </c>
      <c r="T902" s="26">
        <f t="shared" si="38"/>
        <v>0</v>
      </c>
      <c r="U902" s="26">
        <f t="shared" si="38"/>
        <v>0</v>
      </c>
      <c r="V902" s="26">
        <f t="shared" si="38"/>
        <v>0</v>
      </c>
      <c r="W902" s="26">
        <f t="shared" si="38"/>
        <v>0</v>
      </c>
      <c r="X902" s="26">
        <f t="shared" si="38"/>
        <v>0</v>
      </c>
      <c r="Y902" s="26">
        <f t="shared" si="38"/>
        <v>0</v>
      </c>
      <c r="Z902" s="18">
        <f t="shared" si="39"/>
        <v>0</v>
      </c>
      <c r="AA902" s="18">
        <f t="shared" si="39"/>
        <v>0</v>
      </c>
      <c r="AB902" s="93">
        <f t="shared" si="37"/>
        <v>0</v>
      </c>
      <c r="AC902" s="93"/>
    </row>
    <row r="903" spans="1:36" ht="18.75" customHeight="1" x14ac:dyDescent="0.25">
      <c r="A903" s="90" t="s">
        <v>38</v>
      </c>
      <c r="B903" s="91"/>
      <c r="C903" s="91"/>
      <c r="D903" s="91"/>
      <c r="E903" s="91"/>
      <c r="F903" s="91"/>
      <c r="G903" s="91"/>
      <c r="H903" s="91"/>
      <c r="I903" s="92"/>
      <c r="J903" s="26">
        <f t="shared" si="38"/>
        <v>0</v>
      </c>
      <c r="K903" s="26">
        <f t="shared" si="38"/>
        <v>0</v>
      </c>
      <c r="L903" s="26">
        <f t="shared" si="38"/>
        <v>0</v>
      </c>
      <c r="M903" s="26">
        <f t="shared" si="38"/>
        <v>0</v>
      </c>
      <c r="N903" s="26">
        <f t="shared" si="38"/>
        <v>0</v>
      </c>
      <c r="O903" s="26">
        <f t="shared" si="38"/>
        <v>0</v>
      </c>
      <c r="P903" s="26">
        <f t="shared" si="38"/>
        <v>0</v>
      </c>
      <c r="Q903" s="26">
        <f t="shared" si="38"/>
        <v>0</v>
      </c>
      <c r="R903" s="26">
        <f t="shared" si="38"/>
        <v>0</v>
      </c>
      <c r="S903" s="26">
        <f t="shared" si="38"/>
        <v>0</v>
      </c>
      <c r="T903" s="26">
        <f t="shared" si="38"/>
        <v>0</v>
      </c>
      <c r="U903" s="26">
        <f t="shared" si="38"/>
        <v>0</v>
      </c>
      <c r="V903" s="26">
        <f t="shared" si="38"/>
        <v>0</v>
      </c>
      <c r="W903" s="26">
        <f t="shared" si="38"/>
        <v>0</v>
      </c>
      <c r="X903" s="26">
        <f t="shared" si="38"/>
        <v>0</v>
      </c>
      <c r="Y903" s="26">
        <f t="shared" si="38"/>
        <v>0</v>
      </c>
      <c r="Z903" s="18">
        <f t="shared" si="39"/>
        <v>0</v>
      </c>
      <c r="AA903" s="18">
        <f t="shared" si="39"/>
        <v>0</v>
      </c>
      <c r="AB903" s="93">
        <f t="shared" si="37"/>
        <v>0</v>
      </c>
      <c r="AC903" s="93"/>
    </row>
    <row r="904" spans="1:36" ht="18.75" customHeight="1" x14ac:dyDescent="0.25">
      <c r="A904" s="90" t="s">
        <v>39</v>
      </c>
      <c r="B904" s="91"/>
      <c r="C904" s="91"/>
      <c r="D904" s="91"/>
      <c r="E904" s="91"/>
      <c r="F904" s="91"/>
      <c r="G904" s="91"/>
      <c r="H904" s="91"/>
      <c r="I904" s="92"/>
      <c r="J904" s="26">
        <f t="shared" si="38"/>
        <v>0</v>
      </c>
      <c r="K904" s="26">
        <f t="shared" si="38"/>
        <v>0</v>
      </c>
      <c r="L904" s="26">
        <f t="shared" si="38"/>
        <v>0</v>
      </c>
      <c r="M904" s="26">
        <f t="shared" si="38"/>
        <v>0</v>
      </c>
      <c r="N904" s="26">
        <f t="shared" si="38"/>
        <v>0</v>
      </c>
      <c r="O904" s="26">
        <f t="shared" si="38"/>
        <v>0</v>
      </c>
      <c r="P904" s="26">
        <f t="shared" si="38"/>
        <v>0</v>
      </c>
      <c r="Q904" s="26">
        <f t="shared" si="38"/>
        <v>0</v>
      </c>
      <c r="R904" s="26">
        <f t="shared" si="38"/>
        <v>0</v>
      </c>
      <c r="S904" s="26">
        <f t="shared" si="38"/>
        <v>0</v>
      </c>
      <c r="T904" s="26">
        <f t="shared" si="38"/>
        <v>0</v>
      </c>
      <c r="U904" s="26">
        <f t="shared" si="38"/>
        <v>0</v>
      </c>
      <c r="V904" s="26">
        <f t="shared" si="38"/>
        <v>0</v>
      </c>
      <c r="W904" s="26">
        <f t="shared" si="38"/>
        <v>0</v>
      </c>
      <c r="X904" s="26">
        <f t="shared" si="38"/>
        <v>0</v>
      </c>
      <c r="Y904" s="26">
        <f t="shared" si="38"/>
        <v>0</v>
      </c>
      <c r="Z904" s="18">
        <f t="shared" si="39"/>
        <v>0</v>
      </c>
      <c r="AA904" s="18">
        <f t="shared" si="39"/>
        <v>0</v>
      </c>
      <c r="AB904" s="93">
        <f t="shared" si="37"/>
        <v>0</v>
      </c>
      <c r="AC904" s="93"/>
    </row>
    <row r="905" spans="1:36" ht="18.75" customHeight="1" x14ac:dyDescent="0.25">
      <c r="A905" s="90" t="s">
        <v>17</v>
      </c>
      <c r="B905" s="91"/>
      <c r="C905" s="91"/>
      <c r="D905" s="91"/>
      <c r="E905" s="91"/>
      <c r="F905" s="91"/>
      <c r="G905" s="91"/>
      <c r="H905" s="91"/>
      <c r="I905" s="92"/>
      <c r="J905" s="26">
        <f t="shared" si="38"/>
        <v>0</v>
      </c>
      <c r="K905" s="26">
        <f t="shared" si="38"/>
        <v>0</v>
      </c>
      <c r="L905" s="26">
        <f t="shared" si="38"/>
        <v>0</v>
      </c>
      <c r="M905" s="26">
        <f t="shared" si="38"/>
        <v>0</v>
      </c>
      <c r="N905" s="26">
        <f t="shared" si="38"/>
        <v>0</v>
      </c>
      <c r="O905" s="26">
        <f t="shared" si="38"/>
        <v>0</v>
      </c>
      <c r="P905" s="26">
        <f t="shared" si="38"/>
        <v>1</v>
      </c>
      <c r="Q905" s="26">
        <f t="shared" si="38"/>
        <v>0</v>
      </c>
      <c r="R905" s="26">
        <f t="shared" si="38"/>
        <v>1</v>
      </c>
      <c r="S905" s="26">
        <f t="shared" si="38"/>
        <v>0</v>
      </c>
      <c r="T905" s="26">
        <f t="shared" si="38"/>
        <v>0</v>
      </c>
      <c r="U905" s="26">
        <f t="shared" si="38"/>
        <v>0</v>
      </c>
      <c r="V905" s="26">
        <f t="shared" si="38"/>
        <v>0</v>
      </c>
      <c r="W905" s="26">
        <f t="shared" si="38"/>
        <v>1</v>
      </c>
      <c r="X905" s="26">
        <f t="shared" si="38"/>
        <v>1</v>
      </c>
      <c r="Y905" s="26">
        <f t="shared" si="38"/>
        <v>1</v>
      </c>
      <c r="Z905" s="18">
        <f t="shared" si="39"/>
        <v>3</v>
      </c>
      <c r="AA905" s="18">
        <f t="shared" si="39"/>
        <v>2</v>
      </c>
      <c r="AB905" s="93">
        <f t="shared" si="37"/>
        <v>5</v>
      </c>
      <c r="AC905" s="93"/>
    </row>
    <row r="906" spans="1:36" ht="9" customHeight="1" x14ac:dyDescent="0.25"/>
    <row r="907" spans="1:36" ht="1.5" hidden="1" customHeight="1" x14ac:dyDescent="0.25"/>
    <row r="908" spans="1:36" ht="15.75" x14ac:dyDescent="0.25">
      <c r="A908" s="4" t="s">
        <v>73</v>
      </c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N908" s="4" t="s">
        <v>20</v>
      </c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36" ht="15" customHeight="1" x14ac:dyDescent="0.25">
      <c r="A909" s="123" t="s">
        <v>74</v>
      </c>
      <c r="B909" s="123"/>
      <c r="C909" s="123"/>
      <c r="D909" s="123"/>
      <c r="E909" s="50" t="s">
        <v>75</v>
      </c>
      <c r="F909" s="50"/>
      <c r="G909" s="50"/>
      <c r="H909" s="50"/>
      <c r="I909" s="50" t="s">
        <v>76</v>
      </c>
      <c r="J909" s="50"/>
      <c r="K909" s="50"/>
      <c r="L909" s="50"/>
      <c r="M909" s="9"/>
      <c r="N909" s="124" t="s">
        <v>77</v>
      </c>
      <c r="O909" s="125"/>
      <c r="P909" s="125"/>
      <c r="Q909" s="125"/>
      <c r="R909" s="125"/>
      <c r="S909" s="126"/>
      <c r="T909" s="50" t="s">
        <v>21</v>
      </c>
      <c r="U909" s="50"/>
      <c r="V909" s="50" t="s">
        <v>22</v>
      </c>
      <c r="W909" s="50"/>
      <c r="X909" s="50"/>
      <c r="Y909" s="50"/>
      <c r="Z909" s="50"/>
      <c r="AA909" s="50" t="s">
        <v>23</v>
      </c>
      <c r="AB909" s="50"/>
      <c r="AC909" s="50"/>
      <c r="AD909" s="10"/>
      <c r="AE909" s="3"/>
      <c r="AG909" s="9"/>
      <c r="AH909" s="9"/>
      <c r="AI909" s="9"/>
      <c r="AJ909" s="9"/>
    </row>
    <row r="910" spans="1:36" ht="51" customHeight="1" x14ac:dyDescent="0.25">
      <c r="A910" s="123"/>
      <c r="B910" s="123"/>
      <c r="C910" s="123"/>
      <c r="D910" s="123"/>
      <c r="E910" s="50"/>
      <c r="F910" s="50"/>
      <c r="G910" s="50"/>
      <c r="H910" s="50"/>
      <c r="I910" s="50"/>
      <c r="J910" s="50"/>
      <c r="K910" s="50"/>
      <c r="L910" s="50"/>
      <c r="M910" s="20"/>
      <c r="N910" s="101"/>
      <c r="O910" s="102"/>
      <c r="P910" s="102"/>
      <c r="Q910" s="102"/>
      <c r="R910" s="102"/>
      <c r="S910" s="127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10"/>
      <c r="AE910" s="3"/>
      <c r="AG910" s="21"/>
      <c r="AH910" s="21"/>
      <c r="AI910" s="21"/>
      <c r="AJ910" s="9"/>
    </row>
    <row r="911" spans="1:36" ht="48.75" customHeight="1" x14ac:dyDescent="0.25">
      <c r="A911" s="50" t="s">
        <v>78</v>
      </c>
      <c r="B911" s="50"/>
      <c r="C911" s="52" t="s">
        <v>79</v>
      </c>
      <c r="D911" s="116"/>
      <c r="E911" s="50" t="s">
        <v>78</v>
      </c>
      <c r="F911" s="50"/>
      <c r="G911" s="50" t="s">
        <v>79</v>
      </c>
      <c r="H911" s="50"/>
      <c r="I911" s="117" t="s">
        <v>80</v>
      </c>
      <c r="J911" s="117"/>
      <c r="K911" s="50" t="s">
        <v>81</v>
      </c>
      <c r="L911" s="50"/>
      <c r="M911" s="20"/>
      <c r="N911" s="118" t="s">
        <v>82</v>
      </c>
      <c r="O911" s="119"/>
      <c r="P911" s="120"/>
      <c r="Q911" s="121" t="s">
        <v>83</v>
      </c>
      <c r="R911" s="122"/>
      <c r="S911" s="122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10"/>
      <c r="AE911" s="22"/>
      <c r="AG911" s="21"/>
      <c r="AH911" s="21"/>
      <c r="AI911" s="21"/>
      <c r="AJ911" s="9"/>
    </row>
    <row r="912" spans="1:36" ht="21.75" customHeight="1" x14ac:dyDescent="0.25">
      <c r="A912" s="56">
        <f>A854+A796+A738</f>
        <v>0</v>
      </c>
      <c r="B912" s="56"/>
      <c r="C912" s="56">
        <f>C854+C796+C738</f>
        <v>867</v>
      </c>
      <c r="D912" s="56"/>
      <c r="E912" s="56">
        <f>E854+E796+E738</f>
        <v>0</v>
      </c>
      <c r="F912" s="56"/>
      <c r="G912" s="56">
        <f>G854+G796+G738</f>
        <v>62</v>
      </c>
      <c r="H912" s="56"/>
      <c r="I912" s="56">
        <f>I854+I796+I738</f>
        <v>0</v>
      </c>
      <c r="J912" s="56"/>
      <c r="K912" s="56">
        <f>K854+K796+K738</f>
        <v>0</v>
      </c>
      <c r="L912" s="56"/>
      <c r="M912" s="20"/>
      <c r="N912" s="100">
        <f>N854+N796+N738</f>
        <v>89</v>
      </c>
      <c r="O912" s="100"/>
      <c r="P912" s="100"/>
      <c r="Q912" s="100">
        <f>Q854+Q796+Q738</f>
        <v>66</v>
      </c>
      <c r="R912" s="100"/>
      <c r="S912" s="100"/>
      <c r="T912" s="103">
        <f>T854+T796+T738</f>
        <v>1</v>
      </c>
      <c r="U912" s="103"/>
      <c r="V912" s="103">
        <f>V854+V796+V738</f>
        <v>1</v>
      </c>
      <c r="W912" s="103"/>
      <c r="X912" s="103"/>
      <c r="Y912" s="103"/>
      <c r="Z912" s="103"/>
      <c r="AA912" s="104">
        <f>AA854+AA796+AA738</f>
        <v>1</v>
      </c>
      <c r="AB912" s="104"/>
      <c r="AC912" s="104"/>
      <c r="AD912" s="22"/>
      <c r="AE912" s="23"/>
      <c r="AG912" s="9"/>
      <c r="AH912" s="9"/>
      <c r="AI912" s="9"/>
      <c r="AJ912" s="9"/>
    </row>
    <row r="913" spans="1:40" ht="6" customHeight="1" x14ac:dyDescent="0.25">
      <c r="L913" s="24"/>
      <c r="AG913" s="9"/>
      <c r="AH913" s="9"/>
      <c r="AI913" s="9"/>
      <c r="AJ913" s="9"/>
    </row>
    <row r="914" spans="1:40" ht="15.75" x14ac:dyDescent="0.25">
      <c r="A914" s="4" t="s">
        <v>24</v>
      </c>
      <c r="B914" s="19"/>
      <c r="C914" s="19"/>
      <c r="D914" s="19"/>
      <c r="E914" s="19"/>
      <c r="M914" s="19"/>
      <c r="N914" s="4" t="s">
        <v>25</v>
      </c>
      <c r="O914" s="19"/>
      <c r="AG914" s="9"/>
      <c r="AH914" s="9"/>
      <c r="AI914" s="9"/>
      <c r="AJ914" s="9"/>
    </row>
    <row r="915" spans="1:40" ht="15" customHeight="1" x14ac:dyDescent="0.25">
      <c r="A915" s="50" t="s">
        <v>26</v>
      </c>
      <c r="B915" s="50"/>
      <c r="C915" s="50"/>
      <c r="D915" s="50"/>
      <c r="E915" s="50"/>
      <c r="F915" s="105" t="s">
        <v>27</v>
      </c>
      <c r="G915" s="106"/>
      <c r="H915" s="106"/>
      <c r="I915" s="106"/>
      <c r="J915" s="106"/>
      <c r="K915" s="106"/>
      <c r="L915" s="107"/>
      <c r="M915" s="24"/>
      <c r="N915" s="50" t="s">
        <v>84</v>
      </c>
      <c r="O915" s="50"/>
      <c r="P915" s="50"/>
      <c r="Q915" s="50"/>
      <c r="R915" s="105" t="s">
        <v>28</v>
      </c>
      <c r="S915" s="106"/>
      <c r="T915" s="106"/>
      <c r="U915" s="107"/>
      <c r="V915" s="50" t="s">
        <v>29</v>
      </c>
      <c r="W915" s="50"/>
      <c r="X915" s="50"/>
      <c r="Y915" s="50"/>
      <c r="Z915" s="50"/>
      <c r="AA915" s="106" t="s">
        <v>85</v>
      </c>
      <c r="AB915" s="106"/>
      <c r="AC915" s="107"/>
    </row>
    <row r="916" spans="1:40" x14ac:dyDescent="0.25">
      <c r="A916" s="50"/>
      <c r="B916" s="50"/>
      <c r="C916" s="50"/>
      <c r="D916" s="50"/>
      <c r="E916" s="50"/>
      <c r="F916" s="108"/>
      <c r="G916" s="109"/>
      <c r="H916" s="109"/>
      <c r="I916" s="109"/>
      <c r="J916" s="109"/>
      <c r="K916" s="109"/>
      <c r="L916" s="110"/>
      <c r="M916" s="24"/>
      <c r="N916" s="50"/>
      <c r="O916" s="50"/>
      <c r="P916" s="50"/>
      <c r="Q916" s="50"/>
      <c r="R916" s="108"/>
      <c r="S916" s="109"/>
      <c r="T916" s="109"/>
      <c r="U916" s="110"/>
      <c r="V916" s="50"/>
      <c r="W916" s="50"/>
      <c r="X916" s="50"/>
      <c r="Y916" s="50"/>
      <c r="Z916" s="50"/>
      <c r="AA916" s="109"/>
      <c r="AB916" s="109"/>
      <c r="AC916" s="110"/>
    </row>
    <row r="917" spans="1:40" x14ac:dyDescent="0.25">
      <c r="A917" s="50"/>
      <c r="B917" s="50"/>
      <c r="C917" s="50"/>
      <c r="D917" s="50"/>
      <c r="E917" s="50"/>
      <c r="F917" s="111"/>
      <c r="G917" s="112"/>
      <c r="H917" s="112"/>
      <c r="I917" s="112"/>
      <c r="J917" s="112"/>
      <c r="K917" s="112"/>
      <c r="L917" s="113"/>
      <c r="M917" s="24"/>
      <c r="N917" s="50"/>
      <c r="O917" s="50"/>
      <c r="P917" s="50"/>
      <c r="Q917" s="50"/>
      <c r="R917" s="111"/>
      <c r="S917" s="112"/>
      <c r="T917" s="112"/>
      <c r="U917" s="113"/>
      <c r="V917" s="50"/>
      <c r="W917" s="50"/>
      <c r="X917" s="50"/>
      <c r="Y917" s="50"/>
      <c r="Z917" s="50"/>
      <c r="AA917" s="112"/>
      <c r="AB917" s="112"/>
      <c r="AC917" s="113"/>
    </row>
    <row r="918" spans="1:40" ht="21.75" customHeight="1" x14ac:dyDescent="0.25">
      <c r="A918" s="50">
        <f>A860+A802+A744</f>
        <v>53</v>
      </c>
      <c r="B918" s="50"/>
      <c r="C918" s="50"/>
      <c r="D918" s="50"/>
      <c r="E918" s="50"/>
      <c r="F918" s="111">
        <f>F860+F802+F744</f>
        <v>4</v>
      </c>
      <c r="G918" s="112"/>
      <c r="H918" s="112"/>
      <c r="I918" s="112"/>
      <c r="J918" s="112"/>
      <c r="K918" s="112"/>
      <c r="L918" s="113"/>
      <c r="M918" s="24"/>
      <c r="N918" s="50">
        <f>N860+N802+N744</f>
        <v>6</v>
      </c>
      <c r="O918" s="50"/>
      <c r="P918" s="50"/>
      <c r="Q918" s="50"/>
      <c r="R918" s="50">
        <f>R860+R802+R744</f>
        <v>33</v>
      </c>
      <c r="S918" s="50"/>
      <c r="T918" s="50"/>
      <c r="U918" s="50"/>
      <c r="V918" s="50">
        <f>V860+V802+V744</f>
        <v>92</v>
      </c>
      <c r="W918" s="50"/>
      <c r="X918" s="50"/>
      <c r="Y918" s="50"/>
      <c r="Z918" s="50"/>
      <c r="AA918" s="112">
        <f>AA860+AA802+AA744</f>
        <v>2</v>
      </c>
      <c r="AB918" s="112"/>
      <c r="AC918" s="113"/>
    </row>
    <row r="919" spans="1:40" x14ac:dyDescent="0.25">
      <c r="A919" s="16"/>
      <c r="B919" s="16" t="s">
        <v>86</v>
      </c>
      <c r="C919" s="7" t="s">
        <v>87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40" x14ac:dyDescent="0.25">
      <c r="A920" s="16"/>
      <c r="B920" s="16" t="s">
        <v>12</v>
      </c>
      <c r="C920" s="7" t="s">
        <v>88</v>
      </c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40" x14ac:dyDescent="0.25">
      <c r="A921" s="128"/>
      <c r="B921" s="16" t="s">
        <v>13</v>
      </c>
      <c r="C921" s="7" t="s">
        <v>89</v>
      </c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40" ht="15" customHeight="1" x14ac:dyDescent="0.25">
      <c r="A922" s="128"/>
      <c r="B922" s="128" t="s">
        <v>14</v>
      </c>
      <c r="C922" s="137" t="s">
        <v>90</v>
      </c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27"/>
      <c r="AN922" s="15">
        <f ca="1">AN922:AO922</f>
        <v>0</v>
      </c>
    </row>
    <row r="923" spans="1:40" x14ac:dyDescent="0.25">
      <c r="B923" s="128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27"/>
    </row>
    <row r="924" spans="1:40" ht="12.75" customHeight="1" x14ac:dyDescent="0.25">
      <c r="M924" s="129" t="s">
        <v>19</v>
      </c>
      <c r="N924" s="129"/>
      <c r="O924" s="129"/>
      <c r="P924" s="129"/>
      <c r="Q924" s="129"/>
      <c r="R924" s="129"/>
      <c r="S924" s="11"/>
    </row>
    <row r="925" spans="1:40" x14ac:dyDescent="0.25">
      <c r="L925" s="12"/>
      <c r="M925" s="12"/>
      <c r="N925" s="12"/>
      <c r="O925" s="12"/>
      <c r="P925" s="13"/>
      <c r="R925" s="11"/>
      <c r="S925" s="11"/>
    </row>
    <row r="926" spans="1:40" x14ac:dyDescent="0.25">
      <c r="L926" s="9"/>
      <c r="R926" s="25"/>
      <c r="S926" s="25"/>
      <c r="T926" s="9"/>
      <c r="U926" s="9"/>
      <c r="V926" s="9"/>
      <c r="W926" s="9"/>
      <c r="X926" s="9"/>
      <c r="Y926" s="9"/>
      <c r="Z926" s="9"/>
    </row>
    <row r="927" spans="1:40" ht="15.75" x14ac:dyDescent="0.25">
      <c r="L927" s="25"/>
      <c r="M927" s="130" t="s">
        <v>97</v>
      </c>
      <c r="N927" s="130"/>
      <c r="O927" s="130"/>
      <c r="P927" s="130"/>
      <c r="Q927" s="130"/>
      <c r="R927" s="130"/>
      <c r="S927" s="25"/>
      <c r="T927" s="9"/>
      <c r="U927" s="9"/>
      <c r="V927" s="9"/>
      <c r="W927" s="9"/>
      <c r="X927" s="9"/>
      <c r="Y927" s="9"/>
      <c r="Z927" s="9"/>
    </row>
    <row r="928" spans="1:40" ht="15.75" x14ac:dyDescent="0.25">
      <c r="L928" s="25"/>
      <c r="M928" s="131" t="s">
        <v>98</v>
      </c>
      <c r="N928" s="131"/>
      <c r="O928" s="131"/>
      <c r="P928" s="131"/>
      <c r="Q928" s="131"/>
      <c r="R928" s="131"/>
      <c r="S928" s="25"/>
      <c r="T928" s="9"/>
      <c r="U928" s="9"/>
      <c r="V928" s="9"/>
      <c r="W928" s="9"/>
      <c r="X928" s="9"/>
      <c r="Y928" s="9"/>
      <c r="Z928" s="9"/>
    </row>
    <row r="930" spans="1:29" ht="12.75" customHeight="1" x14ac:dyDescent="0.25"/>
    <row r="931" spans="1:29" ht="12.75" customHeight="1" x14ac:dyDescent="0.25"/>
    <row r="932" spans="1:29" ht="12.75" customHeight="1" x14ac:dyDescent="0.25">
      <c r="A932" s="34" t="s">
        <v>41</v>
      </c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spans="1:29" ht="12" customHeight="1" x14ac:dyDescent="0.25">
      <c r="A933" s="35" t="s">
        <v>30</v>
      </c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</row>
    <row r="934" spans="1:29" ht="12" customHeight="1" x14ac:dyDescent="0.25">
      <c r="A934" s="35" t="s">
        <v>46</v>
      </c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</row>
    <row r="935" spans="1:29" ht="12" customHeight="1" x14ac:dyDescent="0.25">
      <c r="A935" s="36" t="s">
        <v>62</v>
      </c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</row>
    <row r="936" spans="1:29" ht="12" customHeight="1" x14ac:dyDescent="0.25">
      <c r="A936" s="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5">
      <c r="A937" s="37" t="s">
        <v>63</v>
      </c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 spans="1:29" ht="6" customHeight="1" x14ac:dyDescent="0.25"/>
    <row r="939" spans="1:29" ht="12.75" customHeight="1" x14ac:dyDescent="0.25">
      <c r="A939" s="38" t="s">
        <v>64</v>
      </c>
      <c r="B939" s="39"/>
      <c r="C939" s="39"/>
      <c r="D939" s="39"/>
      <c r="E939" s="39"/>
      <c r="F939" s="39"/>
      <c r="G939" s="39"/>
      <c r="H939" s="40"/>
      <c r="I939" s="38" t="s">
        <v>65</v>
      </c>
      <c r="J939" s="39"/>
      <c r="K939" s="39"/>
      <c r="L939" s="39"/>
      <c r="M939" s="39"/>
      <c r="N939" s="39"/>
      <c r="O939" s="39"/>
      <c r="P939" s="39"/>
      <c r="Q939" s="40"/>
      <c r="R939" s="38" t="s">
        <v>18</v>
      </c>
      <c r="S939" s="39"/>
      <c r="T939" s="39"/>
      <c r="U939" s="40"/>
      <c r="V939" s="41" t="s">
        <v>66</v>
      </c>
      <c r="W939" s="42"/>
      <c r="X939" s="42"/>
      <c r="Y939" s="42"/>
      <c r="Z939" s="42"/>
      <c r="AA939" s="42"/>
      <c r="AB939" s="42"/>
      <c r="AC939" s="43"/>
    </row>
    <row r="940" spans="1:29" ht="12.75" customHeight="1" x14ac:dyDescent="0.25">
      <c r="A940" s="47" t="s">
        <v>40</v>
      </c>
      <c r="B940" s="48"/>
      <c r="C940" s="48"/>
      <c r="D940" s="48"/>
      <c r="E940" s="48"/>
      <c r="F940" s="48"/>
      <c r="G940" s="48"/>
      <c r="H940" s="49"/>
      <c r="I940" s="47" t="s">
        <v>61</v>
      </c>
      <c r="J940" s="48"/>
      <c r="K940" s="48"/>
      <c r="L940" s="48"/>
      <c r="M940" s="48"/>
      <c r="N940" s="48"/>
      <c r="O940" s="48"/>
      <c r="P940" s="48"/>
      <c r="Q940" s="49"/>
      <c r="R940" s="58">
        <v>2025</v>
      </c>
      <c r="S940" s="59"/>
      <c r="T940" s="59"/>
      <c r="U940" s="60"/>
      <c r="V940" s="44"/>
      <c r="W940" s="45"/>
      <c r="X940" s="45"/>
      <c r="Y940" s="45"/>
      <c r="Z940" s="45"/>
      <c r="AA940" s="45"/>
      <c r="AB940" s="45"/>
      <c r="AC940" s="46"/>
    </row>
    <row r="941" spans="1:29" ht="12.75" customHeight="1" x14ac:dyDescent="0.25">
      <c r="A941" s="61" t="s">
        <v>67</v>
      </c>
      <c r="B941" s="62"/>
      <c r="C941" s="62"/>
      <c r="D941" s="62"/>
      <c r="E941" s="62"/>
      <c r="F941" s="62"/>
      <c r="G941" s="62"/>
      <c r="H941" s="63"/>
      <c r="I941" s="38" t="s">
        <v>68</v>
      </c>
      <c r="J941" s="39"/>
      <c r="K941" s="39"/>
      <c r="L941" s="39"/>
      <c r="M941" s="39"/>
      <c r="N941" s="39"/>
      <c r="O941" s="39"/>
      <c r="P941" s="39"/>
      <c r="Q941" s="40"/>
      <c r="R941" s="64" t="s">
        <v>91</v>
      </c>
      <c r="S941" s="39"/>
      <c r="T941" s="39"/>
      <c r="U941" s="40"/>
      <c r="V941" s="65"/>
      <c r="W941" s="66"/>
      <c r="X941" s="66"/>
      <c r="Y941" s="66"/>
      <c r="Z941" s="66"/>
      <c r="AA941" s="66"/>
      <c r="AB941" s="66"/>
      <c r="AC941" s="67"/>
    </row>
    <row r="942" spans="1:29" ht="12.75" customHeight="1" x14ac:dyDescent="0.25">
      <c r="A942" s="71" t="s">
        <v>61</v>
      </c>
      <c r="B942" s="72"/>
      <c r="C942" s="72"/>
      <c r="D942" s="72"/>
      <c r="E942" s="72"/>
      <c r="F942" s="72"/>
      <c r="G942" s="72"/>
      <c r="H942" s="73"/>
      <c r="I942" s="77" t="s">
        <v>60</v>
      </c>
      <c r="J942" s="78"/>
      <c r="K942" s="78"/>
      <c r="L942" s="78"/>
      <c r="M942" s="78"/>
      <c r="N942" s="78"/>
      <c r="O942" s="78"/>
      <c r="P942" s="78"/>
      <c r="Q942" s="79"/>
      <c r="R942" s="83" t="s">
        <v>45</v>
      </c>
      <c r="S942" s="84"/>
      <c r="T942" s="84"/>
      <c r="U942" s="85"/>
      <c r="V942" s="65"/>
      <c r="W942" s="66"/>
      <c r="X942" s="66"/>
      <c r="Y942" s="66"/>
      <c r="Z942" s="66"/>
      <c r="AA942" s="66"/>
      <c r="AB942" s="66"/>
      <c r="AC942" s="67"/>
    </row>
    <row r="943" spans="1:29" ht="6.75" customHeight="1" x14ac:dyDescent="0.25">
      <c r="A943" s="74"/>
      <c r="B943" s="75"/>
      <c r="C943" s="75"/>
      <c r="D943" s="75"/>
      <c r="E943" s="75"/>
      <c r="F943" s="75"/>
      <c r="G943" s="75"/>
      <c r="H943" s="76"/>
      <c r="I943" s="80"/>
      <c r="J943" s="81"/>
      <c r="K943" s="81"/>
      <c r="L943" s="81"/>
      <c r="M943" s="81"/>
      <c r="N943" s="81"/>
      <c r="O943" s="81"/>
      <c r="P943" s="81"/>
      <c r="Q943" s="82"/>
      <c r="R943" s="86"/>
      <c r="S943" s="87"/>
      <c r="T943" s="87"/>
      <c r="U943" s="88"/>
      <c r="V943" s="68"/>
      <c r="W943" s="69"/>
      <c r="X943" s="69"/>
      <c r="Y943" s="69"/>
      <c r="Z943" s="69"/>
      <c r="AA943" s="69"/>
      <c r="AB943" s="69"/>
      <c r="AC943" s="70"/>
    </row>
    <row r="944" spans="1:29" ht="10.5" customHeight="1" x14ac:dyDescent="0.25"/>
    <row r="945" spans="1:29" ht="12" customHeight="1" x14ac:dyDescent="0.25">
      <c r="A945" s="4" t="s">
        <v>31</v>
      </c>
    </row>
    <row r="946" spans="1:29" ht="12.75" customHeight="1" x14ac:dyDescent="0.25">
      <c r="L946" s="50" t="s">
        <v>15</v>
      </c>
      <c r="M946" s="50"/>
      <c r="N946" s="50"/>
      <c r="O946" s="51" t="s">
        <v>16</v>
      </c>
      <c r="P946" s="51"/>
      <c r="Q946" s="51"/>
      <c r="R946" s="50" t="s">
        <v>32</v>
      </c>
      <c r="S946" s="50"/>
      <c r="T946" s="50"/>
      <c r="U946" s="52"/>
      <c r="V946" s="51" t="s">
        <v>33</v>
      </c>
      <c r="W946" s="51"/>
      <c r="X946" s="51"/>
      <c r="Y946" s="51"/>
      <c r="Z946" s="51"/>
      <c r="AA946" s="51" t="s">
        <v>0</v>
      </c>
      <c r="AB946" s="51"/>
      <c r="AC946" s="51"/>
    </row>
    <row r="947" spans="1:29" ht="12.75" customHeight="1" x14ac:dyDescent="0.25">
      <c r="L947" s="50"/>
      <c r="M947" s="50"/>
      <c r="N947" s="50"/>
      <c r="O947" s="51"/>
      <c r="P947" s="51"/>
      <c r="Q947" s="51"/>
      <c r="R947" s="50"/>
      <c r="S947" s="50"/>
      <c r="T947" s="50"/>
      <c r="U947" s="52"/>
      <c r="V947" s="51"/>
      <c r="W947" s="51"/>
      <c r="X947" s="51"/>
      <c r="Y947" s="51"/>
      <c r="Z947" s="51"/>
      <c r="AA947" s="51"/>
      <c r="AB947" s="51"/>
      <c r="AC947" s="51"/>
    </row>
    <row r="948" spans="1:29" ht="20.25" customHeight="1" x14ac:dyDescent="0.3">
      <c r="A948" s="53" t="s">
        <v>69</v>
      </c>
      <c r="B948" s="54"/>
      <c r="C948" s="54"/>
      <c r="D948" s="54"/>
      <c r="E948" s="54"/>
      <c r="F948" s="54"/>
      <c r="G948" s="54"/>
      <c r="H948" s="54"/>
      <c r="I948" s="54"/>
      <c r="J948" s="54"/>
      <c r="K948" s="55"/>
      <c r="L948" s="132">
        <f>L890+L658+L426+L194</f>
        <v>236</v>
      </c>
      <c r="M948" s="132"/>
      <c r="N948" s="132"/>
      <c r="O948" s="132">
        <f>O890+O658+O426+O194</f>
        <v>34</v>
      </c>
      <c r="P948" s="132"/>
      <c r="Q948" s="132"/>
      <c r="R948" s="132">
        <f>R890+R658+R426+R194</f>
        <v>0</v>
      </c>
      <c r="S948" s="132"/>
      <c r="T948" s="132"/>
      <c r="U948" s="133"/>
      <c r="V948" s="132">
        <f>V890+V658+V426+V194</f>
        <v>0</v>
      </c>
      <c r="W948" s="132"/>
      <c r="X948" s="132"/>
      <c r="Y948" s="132"/>
      <c r="Z948" s="132"/>
      <c r="AA948" s="89">
        <f>V948+R948+O948+L948</f>
        <v>270</v>
      </c>
      <c r="AB948" s="89"/>
      <c r="AC948" s="89"/>
    </row>
    <row r="949" spans="1:29" ht="20.25" customHeight="1" x14ac:dyDescent="0.3">
      <c r="A949" s="53" t="s">
        <v>34</v>
      </c>
      <c r="B949" s="54"/>
      <c r="C949" s="54"/>
      <c r="D949" s="54"/>
      <c r="E949" s="54"/>
      <c r="F949" s="54"/>
      <c r="G949" s="54"/>
      <c r="H949" s="54"/>
      <c r="I949" s="54"/>
      <c r="J949" s="54"/>
      <c r="K949" s="55"/>
      <c r="L949" s="132">
        <f>L891+L659+L427+L195</f>
        <v>115</v>
      </c>
      <c r="M949" s="132"/>
      <c r="N949" s="132"/>
      <c r="O949" s="132">
        <f>O891+O659+O427+O195</f>
        <v>0</v>
      </c>
      <c r="P949" s="132"/>
      <c r="Q949" s="132"/>
      <c r="R949" s="132">
        <f>R891+R659+R427+R195</f>
        <v>0</v>
      </c>
      <c r="S949" s="132"/>
      <c r="T949" s="132"/>
      <c r="U949" s="133"/>
      <c r="V949" s="132">
        <f>V891+V659+V427+V195</f>
        <v>19</v>
      </c>
      <c r="W949" s="132"/>
      <c r="X949" s="132"/>
      <c r="Y949" s="132"/>
      <c r="Z949" s="132"/>
      <c r="AA949" s="89">
        <f>V949+R949+O949+L949</f>
        <v>134</v>
      </c>
      <c r="AB949" s="89"/>
      <c r="AC949" s="89"/>
    </row>
    <row r="950" spans="1:29" ht="20.25" customHeight="1" x14ac:dyDescent="0.3">
      <c r="A950" s="53" t="s">
        <v>70</v>
      </c>
      <c r="B950" s="54"/>
      <c r="C950" s="54"/>
      <c r="D950" s="54"/>
      <c r="E950" s="54"/>
      <c r="F950" s="54"/>
      <c r="G950" s="54"/>
      <c r="H950" s="54"/>
      <c r="I950" s="54"/>
      <c r="J950" s="54"/>
      <c r="K950" s="55"/>
      <c r="L950" s="132">
        <f>L892+L660+L428+L196</f>
        <v>1</v>
      </c>
      <c r="M950" s="132"/>
      <c r="N950" s="132"/>
      <c r="O950" s="132">
        <f>O892+O660+O428+O196</f>
        <v>0</v>
      </c>
      <c r="P950" s="132"/>
      <c r="Q950" s="132"/>
      <c r="R950" s="132">
        <f>R892+R660+R428+R196</f>
        <v>0</v>
      </c>
      <c r="S950" s="132"/>
      <c r="T950" s="132"/>
      <c r="U950" s="133"/>
      <c r="V950" s="132">
        <f>V892+V660+V428+V196</f>
        <v>0</v>
      </c>
      <c r="W950" s="132"/>
      <c r="X950" s="132"/>
      <c r="Y950" s="132"/>
      <c r="Z950" s="132"/>
      <c r="AA950" s="89">
        <f>V950+R950+O950+L950</f>
        <v>1</v>
      </c>
      <c r="AB950" s="89"/>
      <c r="AC950" s="89"/>
    </row>
    <row r="951" spans="1:29" ht="21" customHeight="1" x14ac:dyDescent="0.3">
      <c r="A951" s="53" t="s">
        <v>35</v>
      </c>
      <c r="B951" s="54"/>
      <c r="C951" s="54"/>
      <c r="D951" s="54"/>
      <c r="E951" s="54"/>
      <c r="F951" s="54"/>
      <c r="G951" s="54"/>
      <c r="H951" s="54"/>
      <c r="I951" s="54"/>
      <c r="J951" s="54"/>
      <c r="K951" s="55"/>
      <c r="L951" s="132">
        <f>L893+L661+L429+L197</f>
        <v>14</v>
      </c>
      <c r="M951" s="132"/>
      <c r="N951" s="132"/>
      <c r="O951" s="132">
        <f>O893+O661+O429+O197</f>
        <v>0</v>
      </c>
      <c r="P951" s="132"/>
      <c r="Q951" s="132"/>
      <c r="R951" s="132">
        <f>R893+R661+R429+R197</f>
        <v>0</v>
      </c>
      <c r="S951" s="132"/>
      <c r="T951" s="132"/>
      <c r="U951" s="133"/>
      <c r="V951" s="132">
        <f>V893+V661+V429+V197</f>
        <v>0</v>
      </c>
      <c r="W951" s="132"/>
      <c r="X951" s="132"/>
      <c r="Y951" s="132"/>
      <c r="Z951" s="132"/>
      <c r="AA951" s="89">
        <f>V951+R951+O951+L951</f>
        <v>14</v>
      </c>
      <c r="AB951" s="89"/>
      <c r="AC951" s="89"/>
    </row>
    <row r="952" spans="1:29" ht="4.5" customHeight="1" x14ac:dyDescent="0.25"/>
    <row r="953" spans="1:29" ht="12.75" customHeight="1" x14ac:dyDescent="0.25">
      <c r="A953" s="95" t="s">
        <v>36</v>
      </c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</row>
    <row r="954" spans="1:29" ht="12.75" customHeight="1" x14ac:dyDescent="0.25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</row>
    <row r="955" spans="1:29" ht="0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7.25" customHeight="1" x14ac:dyDescent="0.25">
      <c r="J956" s="96" t="s">
        <v>9</v>
      </c>
      <c r="K956" s="97"/>
      <c r="L956" s="98" t="s">
        <v>10</v>
      </c>
      <c r="M956" s="94"/>
      <c r="N956" s="94" t="s">
        <v>3</v>
      </c>
      <c r="O956" s="94"/>
      <c r="P956" s="94" t="s">
        <v>4</v>
      </c>
      <c r="Q956" s="94"/>
      <c r="R956" s="94" t="s">
        <v>5</v>
      </c>
      <c r="S956" s="94"/>
      <c r="T956" s="94" t="s">
        <v>6</v>
      </c>
      <c r="U956" s="94"/>
      <c r="V956" s="94" t="s">
        <v>7</v>
      </c>
      <c r="W956" s="94"/>
      <c r="X956" s="94" t="s">
        <v>11</v>
      </c>
      <c r="Y956" s="94"/>
      <c r="Z956" s="99" t="s">
        <v>49</v>
      </c>
      <c r="AA956" s="99"/>
      <c r="AB956" s="94" t="s">
        <v>0</v>
      </c>
      <c r="AC956" s="94"/>
    </row>
    <row r="957" spans="1:29" ht="17.25" customHeight="1" x14ac:dyDescent="0.25">
      <c r="J957" s="2" t="s">
        <v>1</v>
      </c>
      <c r="K957" s="2" t="s">
        <v>2</v>
      </c>
      <c r="L957" s="2" t="s">
        <v>1</v>
      </c>
      <c r="M957" s="2" t="s">
        <v>2</v>
      </c>
      <c r="N957" s="2" t="s">
        <v>1</v>
      </c>
      <c r="O957" s="2" t="s">
        <v>2</v>
      </c>
      <c r="P957" s="2" t="s">
        <v>1</v>
      </c>
      <c r="Q957" s="2" t="s">
        <v>2</v>
      </c>
      <c r="R957" s="2" t="s">
        <v>1</v>
      </c>
      <c r="S957" s="2" t="s">
        <v>2</v>
      </c>
      <c r="T957" s="2" t="s">
        <v>1</v>
      </c>
      <c r="U957" s="2" t="s">
        <v>2</v>
      </c>
      <c r="V957" s="2" t="s">
        <v>1</v>
      </c>
      <c r="W957" s="2" t="s">
        <v>2</v>
      </c>
      <c r="X957" s="2" t="s">
        <v>1</v>
      </c>
      <c r="Y957" s="2" t="s">
        <v>2</v>
      </c>
      <c r="Z957" s="17" t="s">
        <v>1</v>
      </c>
      <c r="AA957" s="17" t="s">
        <v>2</v>
      </c>
      <c r="AB957" s="94"/>
      <c r="AC957" s="94"/>
    </row>
    <row r="958" spans="1:29" ht="18.75" customHeight="1" x14ac:dyDescent="0.25">
      <c r="A958" s="90" t="s">
        <v>71</v>
      </c>
      <c r="B958" s="91"/>
      <c r="C958" s="91"/>
      <c r="D958" s="91"/>
      <c r="E958" s="91"/>
      <c r="F958" s="91"/>
      <c r="G958" s="91"/>
      <c r="H958" s="91"/>
      <c r="I958" s="92"/>
      <c r="J958" s="26">
        <f>J900+J668+J436+J204</f>
        <v>0</v>
      </c>
      <c r="K958" s="26">
        <f t="shared" ref="K958:Y958" si="40">K900+K668+K436+K204</f>
        <v>0</v>
      </c>
      <c r="L958" s="26">
        <f t="shared" si="40"/>
        <v>1</v>
      </c>
      <c r="M958" s="26">
        <f t="shared" si="40"/>
        <v>2</v>
      </c>
      <c r="N958" s="26">
        <f t="shared" si="40"/>
        <v>34</v>
      </c>
      <c r="O958" s="26">
        <f t="shared" si="40"/>
        <v>34</v>
      </c>
      <c r="P958" s="26">
        <f t="shared" si="40"/>
        <v>34</v>
      </c>
      <c r="Q958" s="26">
        <f t="shared" si="40"/>
        <v>28</v>
      </c>
      <c r="R958" s="26">
        <f t="shared" si="40"/>
        <v>29</v>
      </c>
      <c r="S958" s="26">
        <f t="shared" si="40"/>
        <v>14</v>
      </c>
      <c r="T958" s="26">
        <f t="shared" si="40"/>
        <v>12</v>
      </c>
      <c r="U958" s="26">
        <f t="shared" si="40"/>
        <v>12</v>
      </c>
      <c r="V958" s="26">
        <f t="shared" si="40"/>
        <v>23</v>
      </c>
      <c r="W958" s="26">
        <f t="shared" si="40"/>
        <v>18</v>
      </c>
      <c r="X958" s="26">
        <f t="shared" si="40"/>
        <v>20</v>
      </c>
      <c r="Y958" s="26">
        <f t="shared" si="40"/>
        <v>9</v>
      </c>
      <c r="Z958" s="18">
        <f>X958+V958+T958+R958+P958+N958+L958+J958</f>
        <v>153</v>
      </c>
      <c r="AA958" s="18">
        <f>Y958+W958+U958+S958+Q958+O958+M958+K958</f>
        <v>117</v>
      </c>
      <c r="AB958" s="93">
        <f t="shared" ref="AB958:AB963" si="41">AA958+Z958</f>
        <v>270</v>
      </c>
      <c r="AC958" s="93"/>
    </row>
    <row r="959" spans="1:29" ht="18.75" customHeight="1" x14ac:dyDescent="0.25">
      <c r="A959" s="53" t="s">
        <v>37</v>
      </c>
      <c r="B959" s="54"/>
      <c r="C959" s="54"/>
      <c r="D959" s="54"/>
      <c r="E959" s="54"/>
      <c r="F959" s="54"/>
      <c r="G959" s="54"/>
      <c r="H959" s="54"/>
      <c r="I959" s="55"/>
      <c r="J959" s="26">
        <f t="shared" ref="J959:Y963" si="42">J901+J669+J437+J205</f>
        <v>0</v>
      </c>
      <c r="K959" s="26">
        <f t="shared" si="42"/>
        <v>0</v>
      </c>
      <c r="L959" s="26">
        <f t="shared" si="42"/>
        <v>1</v>
      </c>
      <c r="M959" s="26">
        <f t="shared" si="42"/>
        <v>3</v>
      </c>
      <c r="N959" s="26">
        <f t="shared" si="42"/>
        <v>12</v>
      </c>
      <c r="O959" s="26">
        <f t="shared" si="42"/>
        <v>12</v>
      </c>
      <c r="P959" s="26">
        <f t="shared" si="42"/>
        <v>16</v>
      </c>
      <c r="Q959" s="26">
        <f t="shared" si="42"/>
        <v>9</v>
      </c>
      <c r="R959" s="26">
        <f t="shared" si="42"/>
        <v>5</v>
      </c>
      <c r="S959" s="26">
        <f t="shared" si="42"/>
        <v>4</v>
      </c>
      <c r="T959" s="26">
        <f t="shared" si="42"/>
        <v>9</v>
      </c>
      <c r="U959" s="26">
        <f t="shared" si="42"/>
        <v>5</v>
      </c>
      <c r="V959" s="26">
        <f t="shared" si="42"/>
        <v>6</v>
      </c>
      <c r="W959" s="26">
        <f t="shared" si="42"/>
        <v>9</v>
      </c>
      <c r="X959" s="26">
        <f t="shared" si="42"/>
        <v>15</v>
      </c>
      <c r="Y959" s="26">
        <f t="shared" si="42"/>
        <v>9</v>
      </c>
      <c r="Z959" s="18">
        <f t="shared" ref="Z959:AA963" si="43">X959+V959+T959+R959+P959+N959+L959+J959</f>
        <v>64</v>
      </c>
      <c r="AA959" s="18">
        <f t="shared" si="43"/>
        <v>51</v>
      </c>
      <c r="AB959" s="93">
        <f t="shared" si="41"/>
        <v>115</v>
      </c>
      <c r="AC959" s="93"/>
    </row>
    <row r="960" spans="1:29" ht="24" customHeight="1" x14ac:dyDescent="0.25">
      <c r="A960" s="90" t="s">
        <v>72</v>
      </c>
      <c r="B960" s="91"/>
      <c r="C960" s="91"/>
      <c r="D960" s="91"/>
      <c r="E960" s="91"/>
      <c r="F960" s="91"/>
      <c r="G960" s="91"/>
      <c r="H960" s="91"/>
      <c r="I960" s="92"/>
      <c r="J960" s="26">
        <f t="shared" si="42"/>
        <v>0</v>
      </c>
      <c r="K960" s="26">
        <f t="shared" si="42"/>
        <v>0</v>
      </c>
      <c r="L960" s="26">
        <f t="shared" si="42"/>
        <v>0</v>
      </c>
      <c r="M960" s="26">
        <f t="shared" si="42"/>
        <v>0</v>
      </c>
      <c r="N960" s="26">
        <f t="shared" si="42"/>
        <v>0</v>
      </c>
      <c r="O960" s="26">
        <f t="shared" si="42"/>
        <v>0</v>
      </c>
      <c r="P960" s="26">
        <f t="shared" si="42"/>
        <v>0</v>
      </c>
      <c r="Q960" s="26">
        <f t="shared" si="42"/>
        <v>0</v>
      </c>
      <c r="R960" s="26">
        <f t="shared" si="42"/>
        <v>0</v>
      </c>
      <c r="S960" s="26">
        <f t="shared" si="42"/>
        <v>0</v>
      </c>
      <c r="T960" s="26">
        <f t="shared" si="42"/>
        <v>0</v>
      </c>
      <c r="U960" s="26">
        <f t="shared" si="42"/>
        <v>0</v>
      </c>
      <c r="V960" s="26">
        <f t="shared" si="42"/>
        <v>0</v>
      </c>
      <c r="W960" s="26">
        <f t="shared" si="42"/>
        <v>1</v>
      </c>
      <c r="X960" s="26">
        <f t="shared" si="42"/>
        <v>0</v>
      </c>
      <c r="Y960" s="26">
        <f t="shared" si="42"/>
        <v>0</v>
      </c>
      <c r="Z960" s="18">
        <f t="shared" si="43"/>
        <v>0</v>
      </c>
      <c r="AA960" s="18">
        <f t="shared" si="43"/>
        <v>1</v>
      </c>
      <c r="AB960" s="93">
        <f t="shared" si="41"/>
        <v>1</v>
      </c>
      <c r="AC960" s="93"/>
    </row>
    <row r="961" spans="1:36" ht="18.75" customHeight="1" x14ac:dyDescent="0.25">
      <c r="A961" s="90" t="s">
        <v>38</v>
      </c>
      <c r="B961" s="91"/>
      <c r="C961" s="91"/>
      <c r="D961" s="91"/>
      <c r="E961" s="91"/>
      <c r="F961" s="91"/>
      <c r="G961" s="91"/>
      <c r="H961" s="91"/>
      <c r="I961" s="92"/>
      <c r="J961" s="26">
        <f t="shared" si="42"/>
        <v>1</v>
      </c>
      <c r="K961" s="26">
        <f t="shared" si="42"/>
        <v>0</v>
      </c>
      <c r="L961" s="26">
        <f t="shared" si="42"/>
        <v>0</v>
      </c>
      <c r="M961" s="26">
        <f t="shared" si="42"/>
        <v>1</v>
      </c>
      <c r="N961" s="26">
        <f t="shared" si="42"/>
        <v>0</v>
      </c>
      <c r="O961" s="26">
        <f t="shared" si="42"/>
        <v>5</v>
      </c>
      <c r="P961" s="26">
        <f t="shared" si="42"/>
        <v>1</v>
      </c>
      <c r="Q961" s="26">
        <f t="shared" si="42"/>
        <v>1</v>
      </c>
      <c r="R961" s="26">
        <f t="shared" si="42"/>
        <v>2</v>
      </c>
      <c r="S961" s="26">
        <f t="shared" si="42"/>
        <v>1</v>
      </c>
      <c r="T961" s="26">
        <f t="shared" si="42"/>
        <v>0</v>
      </c>
      <c r="U961" s="26">
        <f t="shared" si="42"/>
        <v>0</v>
      </c>
      <c r="V961" s="26">
        <f t="shared" si="42"/>
        <v>0</v>
      </c>
      <c r="W961" s="26">
        <f t="shared" si="42"/>
        <v>1</v>
      </c>
      <c r="X961" s="26">
        <f t="shared" si="42"/>
        <v>0</v>
      </c>
      <c r="Y961" s="26">
        <f t="shared" si="42"/>
        <v>1</v>
      </c>
      <c r="Z961" s="18">
        <f t="shared" si="43"/>
        <v>4</v>
      </c>
      <c r="AA961" s="18">
        <f t="shared" si="43"/>
        <v>10</v>
      </c>
      <c r="AB961" s="93">
        <f t="shared" si="41"/>
        <v>14</v>
      </c>
      <c r="AC961" s="93"/>
    </row>
    <row r="962" spans="1:36" ht="18.75" customHeight="1" x14ac:dyDescent="0.25">
      <c r="A962" s="90" t="s">
        <v>39</v>
      </c>
      <c r="B962" s="91"/>
      <c r="C962" s="91"/>
      <c r="D962" s="91"/>
      <c r="E962" s="91"/>
      <c r="F962" s="91"/>
      <c r="G962" s="91"/>
      <c r="H962" s="91"/>
      <c r="I962" s="92"/>
      <c r="J962" s="26">
        <f t="shared" si="42"/>
        <v>0</v>
      </c>
      <c r="K962" s="26">
        <f t="shared" si="42"/>
        <v>0</v>
      </c>
      <c r="L962" s="26">
        <f t="shared" si="42"/>
        <v>0</v>
      </c>
      <c r="M962" s="26">
        <f t="shared" si="42"/>
        <v>0</v>
      </c>
      <c r="N962" s="26">
        <f t="shared" si="42"/>
        <v>0</v>
      </c>
      <c r="O962" s="26">
        <f t="shared" si="42"/>
        <v>0</v>
      </c>
      <c r="P962" s="26">
        <f t="shared" si="42"/>
        <v>0</v>
      </c>
      <c r="Q962" s="26">
        <f t="shared" si="42"/>
        <v>0</v>
      </c>
      <c r="R962" s="26">
        <f t="shared" si="42"/>
        <v>0</v>
      </c>
      <c r="S962" s="26">
        <f t="shared" si="42"/>
        <v>0</v>
      </c>
      <c r="T962" s="26">
        <f t="shared" si="42"/>
        <v>0</v>
      </c>
      <c r="U962" s="26">
        <f t="shared" si="42"/>
        <v>0</v>
      </c>
      <c r="V962" s="26">
        <f t="shared" si="42"/>
        <v>0</v>
      </c>
      <c r="W962" s="26">
        <f t="shared" si="42"/>
        <v>0</v>
      </c>
      <c r="X962" s="26">
        <f t="shared" si="42"/>
        <v>0</v>
      </c>
      <c r="Y962" s="26">
        <f t="shared" si="42"/>
        <v>0</v>
      </c>
      <c r="Z962" s="18">
        <f t="shared" si="43"/>
        <v>0</v>
      </c>
      <c r="AA962" s="18">
        <f t="shared" si="43"/>
        <v>0</v>
      </c>
      <c r="AB962" s="93">
        <f t="shared" si="41"/>
        <v>0</v>
      </c>
      <c r="AC962" s="93"/>
    </row>
    <row r="963" spans="1:36" ht="18.75" customHeight="1" x14ac:dyDescent="0.25">
      <c r="A963" s="90" t="s">
        <v>17</v>
      </c>
      <c r="B963" s="91"/>
      <c r="C963" s="91"/>
      <c r="D963" s="91"/>
      <c r="E963" s="91"/>
      <c r="F963" s="91"/>
      <c r="G963" s="91"/>
      <c r="H963" s="91"/>
      <c r="I963" s="92"/>
      <c r="J963" s="26">
        <f t="shared" si="42"/>
        <v>0</v>
      </c>
      <c r="K963" s="26">
        <f t="shared" si="42"/>
        <v>0</v>
      </c>
      <c r="L963" s="26">
        <f t="shared" si="42"/>
        <v>0</v>
      </c>
      <c r="M963" s="26">
        <f t="shared" si="42"/>
        <v>0</v>
      </c>
      <c r="N963" s="26">
        <f t="shared" si="42"/>
        <v>0</v>
      </c>
      <c r="O963" s="26">
        <f t="shared" si="42"/>
        <v>0</v>
      </c>
      <c r="P963" s="26">
        <f t="shared" si="42"/>
        <v>1</v>
      </c>
      <c r="Q963" s="26">
        <f t="shared" si="42"/>
        <v>1</v>
      </c>
      <c r="R963" s="26">
        <f t="shared" si="42"/>
        <v>3</v>
      </c>
      <c r="S963" s="26">
        <f t="shared" si="42"/>
        <v>1</v>
      </c>
      <c r="T963" s="26">
        <f t="shared" si="42"/>
        <v>2</v>
      </c>
      <c r="U963" s="26">
        <f t="shared" si="42"/>
        <v>0</v>
      </c>
      <c r="V963" s="26">
        <f t="shared" si="42"/>
        <v>2</v>
      </c>
      <c r="W963" s="26">
        <f t="shared" si="42"/>
        <v>3</v>
      </c>
      <c r="X963" s="26">
        <f t="shared" si="42"/>
        <v>3</v>
      </c>
      <c r="Y963" s="26">
        <f t="shared" si="42"/>
        <v>3</v>
      </c>
      <c r="Z963" s="18">
        <f t="shared" si="43"/>
        <v>11</v>
      </c>
      <c r="AA963" s="18">
        <f t="shared" si="43"/>
        <v>8</v>
      </c>
      <c r="AB963" s="93">
        <f t="shared" si="41"/>
        <v>19</v>
      </c>
      <c r="AC963" s="93"/>
    </row>
    <row r="964" spans="1:36" ht="9" customHeight="1" x14ac:dyDescent="0.25"/>
    <row r="965" spans="1:36" ht="1.5" hidden="1" customHeight="1" x14ac:dyDescent="0.25"/>
    <row r="966" spans="1:36" ht="15.75" x14ac:dyDescent="0.25">
      <c r="A966" s="4" t="s">
        <v>73</v>
      </c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N966" s="4" t="s">
        <v>20</v>
      </c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36" ht="15" customHeight="1" x14ac:dyDescent="0.25">
      <c r="A967" s="123" t="s">
        <v>74</v>
      </c>
      <c r="B967" s="123"/>
      <c r="C967" s="123"/>
      <c r="D967" s="123"/>
      <c r="E967" s="50" t="s">
        <v>75</v>
      </c>
      <c r="F967" s="50"/>
      <c r="G967" s="50"/>
      <c r="H967" s="50"/>
      <c r="I967" s="50" t="s">
        <v>76</v>
      </c>
      <c r="J967" s="50"/>
      <c r="K967" s="50"/>
      <c r="L967" s="50"/>
      <c r="M967" s="9"/>
      <c r="N967" s="124" t="s">
        <v>77</v>
      </c>
      <c r="O967" s="125"/>
      <c r="P967" s="125"/>
      <c r="Q967" s="125"/>
      <c r="R967" s="125"/>
      <c r="S967" s="126"/>
      <c r="T967" s="50" t="s">
        <v>21</v>
      </c>
      <c r="U967" s="50"/>
      <c r="V967" s="50" t="s">
        <v>22</v>
      </c>
      <c r="W967" s="50"/>
      <c r="X967" s="50"/>
      <c r="Y967" s="50"/>
      <c r="Z967" s="50"/>
      <c r="AA967" s="50" t="s">
        <v>23</v>
      </c>
      <c r="AB967" s="50"/>
      <c r="AC967" s="50"/>
      <c r="AD967" s="10"/>
      <c r="AE967" s="3"/>
      <c r="AG967" s="9"/>
      <c r="AH967" s="9"/>
      <c r="AI967" s="9"/>
      <c r="AJ967" s="9"/>
    </row>
    <row r="968" spans="1:36" ht="51" customHeight="1" x14ac:dyDescent="0.25">
      <c r="A968" s="123"/>
      <c r="B968" s="123"/>
      <c r="C968" s="123"/>
      <c r="D968" s="123"/>
      <c r="E968" s="50"/>
      <c r="F968" s="50"/>
      <c r="G968" s="50"/>
      <c r="H968" s="50"/>
      <c r="I968" s="50"/>
      <c r="J968" s="50"/>
      <c r="K968" s="50"/>
      <c r="L968" s="50"/>
      <c r="M968" s="20"/>
      <c r="N968" s="101"/>
      <c r="O968" s="102"/>
      <c r="P968" s="102"/>
      <c r="Q968" s="102"/>
      <c r="R968" s="102"/>
      <c r="S968" s="127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10"/>
      <c r="AE968" s="3"/>
      <c r="AG968" s="21"/>
      <c r="AH968" s="21"/>
      <c r="AI968" s="21"/>
      <c r="AJ968" s="9"/>
    </row>
    <row r="969" spans="1:36" ht="48.75" customHeight="1" x14ac:dyDescent="0.25">
      <c r="A969" s="50" t="s">
        <v>78</v>
      </c>
      <c r="B969" s="50"/>
      <c r="C969" s="52" t="s">
        <v>79</v>
      </c>
      <c r="D969" s="116"/>
      <c r="E969" s="50" t="s">
        <v>78</v>
      </c>
      <c r="F969" s="50"/>
      <c r="G969" s="50" t="s">
        <v>79</v>
      </c>
      <c r="H969" s="50"/>
      <c r="I969" s="117" t="s">
        <v>80</v>
      </c>
      <c r="J969" s="117"/>
      <c r="K969" s="50" t="s">
        <v>81</v>
      </c>
      <c r="L969" s="50"/>
      <c r="M969" s="20"/>
      <c r="N969" s="118" t="s">
        <v>82</v>
      </c>
      <c r="O969" s="119"/>
      <c r="P969" s="120"/>
      <c r="Q969" s="121" t="s">
        <v>83</v>
      </c>
      <c r="R969" s="122"/>
      <c r="S969" s="122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10"/>
      <c r="AE969" s="22"/>
      <c r="AG969" s="21"/>
      <c r="AH969" s="21"/>
      <c r="AI969" s="21"/>
      <c r="AJ969" s="9"/>
    </row>
    <row r="970" spans="1:36" ht="21.75" customHeight="1" x14ac:dyDescent="0.25">
      <c r="A970" s="56">
        <f>A912+A680+A448+A216</f>
        <v>0</v>
      </c>
      <c r="B970" s="56"/>
      <c r="C970" s="56">
        <f>C912+C680+C448+C216</f>
        <v>3500</v>
      </c>
      <c r="D970" s="56"/>
      <c r="E970" s="56">
        <f>E912+E680+E448+E216</f>
        <v>0</v>
      </c>
      <c r="F970" s="56"/>
      <c r="G970" s="56">
        <f>G912+G680+G448+G216</f>
        <v>270</v>
      </c>
      <c r="H970" s="56"/>
      <c r="I970" s="56">
        <f>I912+I680+I448+I216</f>
        <v>0</v>
      </c>
      <c r="J970" s="56"/>
      <c r="K970" s="56">
        <f>K912+K680+K448+K216</f>
        <v>0</v>
      </c>
      <c r="L970" s="56"/>
      <c r="M970" s="20"/>
      <c r="N970" s="100">
        <f>N912+N680+N448+N216</f>
        <v>419</v>
      </c>
      <c r="O970" s="100"/>
      <c r="P970" s="100"/>
      <c r="Q970" s="100">
        <f>Q912+Q680+Q448+Q216</f>
        <v>355</v>
      </c>
      <c r="R970" s="100"/>
      <c r="S970" s="100"/>
      <c r="T970" s="103">
        <f>T912+T680+T448+T216</f>
        <v>11</v>
      </c>
      <c r="U970" s="103"/>
      <c r="V970" s="103">
        <f>V912+V680+V448+V216</f>
        <v>11</v>
      </c>
      <c r="W970" s="103"/>
      <c r="X970" s="103"/>
      <c r="Y970" s="103"/>
      <c r="Z970" s="103"/>
      <c r="AA970" s="104">
        <f>AA912+AA680+AA448+AA216</f>
        <v>11</v>
      </c>
      <c r="AB970" s="104"/>
      <c r="AC970" s="104"/>
      <c r="AD970" s="22"/>
      <c r="AE970" s="23"/>
      <c r="AG970" s="9"/>
      <c r="AH970" s="9"/>
      <c r="AI970" s="9"/>
      <c r="AJ970" s="9"/>
    </row>
    <row r="971" spans="1:36" ht="6" customHeight="1" x14ac:dyDescent="0.25">
      <c r="L971" s="24"/>
      <c r="AG971" s="9"/>
      <c r="AH971" s="9"/>
      <c r="AI971" s="9"/>
      <c r="AJ971" s="9"/>
    </row>
    <row r="972" spans="1:36" ht="15.75" x14ac:dyDescent="0.25">
      <c r="A972" s="4" t="s">
        <v>24</v>
      </c>
      <c r="B972" s="19"/>
      <c r="C972" s="19"/>
      <c r="D972" s="19"/>
      <c r="E972" s="19"/>
      <c r="M972" s="19"/>
      <c r="N972" s="4" t="s">
        <v>25</v>
      </c>
      <c r="O972" s="19"/>
      <c r="AG972" s="9"/>
      <c r="AH972" s="9"/>
      <c r="AI972" s="9"/>
      <c r="AJ972" s="9"/>
    </row>
    <row r="973" spans="1:36" ht="15" customHeight="1" x14ac:dyDescent="0.25">
      <c r="A973" s="50" t="s">
        <v>26</v>
      </c>
      <c r="B973" s="50"/>
      <c r="C973" s="50"/>
      <c r="D973" s="50"/>
      <c r="E973" s="50"/>
      <c r="F973" s="105" t="s">
        <v>27</v>
      </c>
      <c r="G973" s="106"/>
      <c r="H973" s="106"/>
      <c r="I973" s="106"/>
      <c r="J973" s="106"/>
      <c r="K973" s="106"/>
      <c r="L973" s="107"/>
      <c r="M973" s="24"/>
      <c r="N973" s="50" t="s">
        <v>84</v>
      </c>
      <c r="O973" s="50"/>
      <c r="P973" s="50"/>
      <c r="Q973" s="50"/>
      <c r="R973" s="105" t="s">
        <v>28</v>
      </c>
      <c r="S973" s="106"/>
      <c r="T973" s="106"/>
      <c r="U973" s="107"/>
      <c r="V973" s="50" t="s">
        <v>29</v>
      </c>
      <c r="W973" s="50"/>
      <c r="X973" s="50"/>
      <c r="Y973" s="50"/>
      <c r="Z973" s="50"/>
      <c r="AA973" s="106" t="s">
        <v>85</v>
      </c>
      <c r="AB973" s="106"/>
      <c r="AC973" s="107"/>
    </row>
    <row r="974" spans="1:36" x14ac:dyDescent="0.25">
      <c r="A974" s="50"/>
      <c r="B974" s="50"/>
      <c r="C974" s="50"/>
      <c r="D974" s="50"/>
      <c r="E974" s="50"/>
      <c r="F974" s="108"/>
      <c r="G974" s="109"/>
      <c r="H974" s="109"/>
      <c r="I974" s="109"/>
      <c r="J974" s="109"/>
      <c r="K974" s="109"/>
      <c r="L974" s="110"/>
      <c r="M974" s="24"/>
      <c r="N974" s="50"/>
      <c r="O974" s="50"/>
      <c r="P974" s="50"/>
      <c r="Q974" s="50"/>
      <c r="R974" s="108"/>
      <c r="S974" s="109"/>
      <c r="T974" s="109"/>
      <c r="U974" s="110"/>
      <c r="V974" s="50"/>
      <c r="W974" s="50"/>
      <c r="X974" s="50"/>
      <c r="Y974" s="50"/>
      <c r="Z974" s="50"/>
      <c r="AA974" s="109"/>
      <c r="AB974" s="109"/>
      <c r="AC974" s="110"/>
    </row>
    <row r="975" spans="1:36" x14ac:dyDescent="0.25">
      <c r="A975" s="50"/>
      <c r="B975" s="50"/>
      <c r="C975" s="50"/>
      <c r="D975" s="50"/>
      <c r="E975" s="50"/>
      <c r="F975" s="111"/>
      <c r="G975" s="112"/>
      <c r="H975" s="112"/>
      <c r="I975" s="112"/>
      <c r="J975" s="112"/>
      <c r="K975" s="112"/>
      <c r="L975" s="113"/>
      <c r="M975" s="24"/>
      <c r="N975" s="50"/>
      <c r="O975" s="50"/>
      <c r="P975" s="50"/>
      <c r="Q975" s="50"/>
      <c r="R975" s="111"/>
      <c r="S975" s="112"/>
      <c r="T975" s="112"/>
      <c r="U975" s="113"/>
      <c r="V975" s="50"/>
      <c r="W975" s="50"/>
      <c r="X975" s="50"/>
      <c r="Y975" s="50"/>
      <c r="Z975" s="50"/>
      <c r="AA975" s="112"/>
      <c r="AB975" s="112"/>
      <c r="AC975" s="113"/>
    </row>
    <row r="976" spans="1:36" ht="21.75" customHeight="1" x14ac:dyDescent="0.25">
      <c r="A976" s="50">
        <f>A918+A686+A454+A222</f>
        <v>246</v>
      </c>
      <c r="B976" s="50"/>
      <c r="C976" s="50"/>
      <c r="D976" s="50"/>
      <c r="E976" s="50"/>
      <c r="F976" s="111">
        <f>F918+F686+F454+F222</f>
        <v>22</v>
      </c>
      <c r="G976" s="112"/>
      <c r="H976" s="112"/>
      <c r="I976" s="112"/>
      <c r="J976" s="112"/>
      <c r="K976" s="112"/>
      <c r="L976" s="113"/>
      <c r="M976" s="24"/>
      <c r="N976" s="50">
        <f>N918+N686+N454+N222</f>
        <v>52</v>
      </c>
      <c r="O976" s="50"/>
      <c r="P976" s="50"/>
      <c r="Q976" s="50"/>
      <c r="R976" s="50">
        <f>R918+R686+R454+R222</f>
        <v>253</v>
      </c>
      <c r="S976" s="50"/>
      <c r="T976" s="50"/>
      <c r="U976" s="50"/>
      <c r="V976" s="50">
        <f>V918+V686+V454+V222</f>
        <v>764</v>
      </c>
      <c r="W976" s="50"/>
      <c r="X976" s="50"/>
      <c r="Y976" s="50"/>
      <c r="Z976" s="50"/>
      <c r="AA976" s="112">
        <f>AA918+AA686+AA454+AA222</f>
        <v>8</v>
      </c>
      <c r="AB976" s="112"/>
      <c r="AC976" s="113"/>
    </row>
    <row r="977" spans="1:40" x14ac:dyDescent="0.25">
      <c r="A977" s="16"/>
      <c r="B977" s="16" t="s">
        <v>86</v>
      </c>
      <c r="C977" s="7" t="s">
        <v>87</v>
      </c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40" x14ac:dyDescent="0.25">
      <c r="A978" s="16"/>
      <c r="B978" s="16" t="s">
        <v>12</v>
      </c>
      <c r="C978" s="7" t="s">
        <v>88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40" x14ac:dyDescent="0.25">
      <c r="A979" s="128"/>
      <c r="B979" s="16" t="s">
        <v>13</v>
      </c>
      <c r="C979" s="7" t="s">
        <v>89</v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40" ht="15" customHeight="1" x14ac:dyDescent="0.25">
      <c r="A980" s="128"/>
      <c r="B980" s="128" t="s">
        <v>14</v>
      </c>
      <c r="C980" s="137" t="s">
        <v>90</v>
      </c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27"/>
      <c r="AN980" s="15">
        <f ca="1">AN980:AO980</f>
        <v>0</v>
      </c>
    </row>
    <row r="981" spans="1:40" x14ac:dyDescent="0.25">
      <c r="B981" s="128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27"/>
    </row>
    <row r="982" spans="1:40" ht="12.75" customHeight="1" x14ac:dyDescent="0.25">
      <c r="M982" s="129" t="s">
        <v>19</v>
      </c>
      <c r="N982" s="129"/>
      <c r="O982" s="129"/>
      <c r="P982" s="129"/>
      <c r="Q982" s="129"/>
      <c r="R982" s="129"/>
      <c r="S982" s="11"/>
    </row>
    <row r="983" spans="1:40" x14ac:dyDescent="0.25">
      <c r="L983" s="12"/>
      <c r="M983" s="12"/>
      <c r="N983" s="12"/>
      <c r="O983" s="12"/>
      <c r="P983" s="13"/>
      <c r="R983" s="11"/>
      <c r="S983" s="11"/>
    </row>
    <row r="984" spans="1:40" x14ac:dyDescent="0.25">
      <c r="L984" s="9"/>
      <c r="R984" s="25"/>
      <c r="S984" s="25"/>
      <c r="T984" s="9"/>
      <c r="U984" s="9"/>
      <c r="V984" s="9"/>
      <c r="W984" s="9"/>
      <c r="X984" s="9"/>
      <c r="Y984" s="9"/>
      <c r="Z984" s="9"/>
    </row>
    <row r="985" spans="1:40" ht="15.75" x14ac:dyDescent="0.25">
      <c r="L985" s="25"/>
      <c r="M985" s="130" t="s">
        <v>97</v>
      </c>
      <c r="N985" s="130"/>
      <c r="O985" s="130"/>
      <c r="P985" s="130"/>
      <c r="Q985" s="130"/>
      <c r="R985" s="130"/>
      <c r="S985" s="25"/>
      <c r="T985" s="9"/>
      <c r="U985" s="9"/>
      <c r="V985" s="9"/>
      <c r="W985" s="9"/>
      <c r="X985" s="9"/>
      <c r="Y985" s="9"/>
      <c r="Z985" s="9"/>
    </row>
    <row r="986" spans="1:40" ht="15.75" x14ac:dyDescent="0.25">
      <c r="L986" s="25"/>
      <c r="M986" s="131" t="s">
        <v>98</v>
      </c>
      <c r="N986" s="131"/>
      <c r="O986" s="131"/>
      <c r="P986" s="131"/>
      <c r="Q986" s="131"/>
      <c r="R986" s="131"/>
      <c r="S986" s="25"/>
      <c r="T986" s="9"/>
      <c r="U986" s="9"/>
      <c r="V986" s="9"/>
      <c r="W986" s="9"/>
      <c r="X986" s="9"/>
      <c r="Y986" s="9"/>
      <c r="Z986" s="9"/>
    </row>
  </sheetData>
  <mergeCells count="1955">
    <mergeCell ref="A979:A980"/>
    <mergeCell ref="B980:B981"/>
    <mergeCell ref="M982:R982"/>
    <mergeCell ref="M985:R985"/>
    <mergeCell ref="M986:R986"/>
    <mergeCell ref="AA973:AC975"/>
    <mergeCell ref="A976:E976"/>
    <mergeCell ref="F976:L976"/>
    <mergeCell ref="N976:Q976"/>
    <mergeCell ref="R976:U976"/>
    <mergeCell ref="V976:Z976"/>
    <mergeCell ref="AA976:AC976"/>
    <mergeCell ref="N970:P970"/>
    <mergeCell ref="Q970:S970"/>
    <mergeCell ref="T970:U970"/>
    <mergeCell ref="V970:Z970"/>
    <mergeCell ref="AA970:AC970"/>
    <mergeCell ref="A973:E975"/>
    <mergeCell ref="F973:L975"/>
    <mergeCell ref="N973:Q975"/>
    <mergeCell ref="R973:U975"/>
    <mergeCell ref="V973:Z975"/>
    <mergeCell ref="A970:B970"/>
    <mergeCell ref="C970:D970"/>
    <mergeCell ref="E970:F970"/>
    <mergeCell ref="G970:H970"/>
    <mergeCell ref="I970:J970"/>
    <mergeCell ref="K970:L970"/>
    <mergeCell ref="C980:AC981"/>
    <mergeCell ref="AA967:AC969"/>
    <mergeCell ref="A969:B969"/>
    <mergeCell ref="C969:D969"/>
    <mergeCell ref="E969:F969"/>
    <mergeCell ref="G969:H969"/>
    <mergeCell ref="I969:J969"/>
    <mergeCell ref="K969:L969"/>
    <mergeCell ref="N969:P969"/>
    <mergeCell ref="Q969:S969"/>
    <mergeCell ref="A967:D968"/>
    <mergeCell ref="E967:H968"/>
    <mergeCell ref="I967:L968"/>
    <mergeCell ref="N967:S968"/>
    <mergeCell ref="T967:U969"/>
    <mergeCell ref="V967:Z969"/>
    <mergeCell ref="A961:I961"/>
    <mergeCell ref="AB961:AC961"/>
    <mergeCell ref="A962:I962"/>
    <mergeCell ref="AB962:AC962"/>
    <mergeCell ref="A963:I963"/>
    <mergeCell ref="AB963:AC963"/>
    <mergeCell ref="AB956:AC957"/>
    <mergeCell ref="A958:I958"/>
    <mergeCell ref="AB958:AC958"/>
    <mergeCell ref="A959:I959"/>
    <mergeCell ref="AB959:AC959"/>
    <mergeCell ref="A960:I960"/>
    <mergeCell ref="AB960:AC960"/>
    <mergeCell ref="A953:AC954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A956"/>
    <mergeCell ref="A951:K951"/>
    <mergeCell ref="L951:N951"/>
    <mergeCell ref="O951:Q951"/>
    <mergeCell ref="R951:U951"/>
    <mergeCell ref="V951:Z951"/>
    <mergeCell ref="AA951:AC951"/>
    <mergeCell ref="A950:K950"/>
    <mergeCell ref="L950:N950"/>
    <mergeCell ref="O950:Q950"/>
    <mergeCell ref="R950:U950"/>
    <mergeCell ref="V950:Z950"/>
    <mergeCell ref="AA950:AC950"/>
    <mergeCell ref="AA948:AC948"/>
    <mergeCell ref="A949:K949"/>
    <mergeCell ref="L949:N949"/>
    <mergeCell ref="O949:Q949"/>
    <mergeCell ref="R949:U949"/>
    <mergeCell ref="V949:Z949"/>
    <mergeCell ref="AA949:AC949"/>
    <mergeCell ref="L946:N947"/>
    <mergeCell ref="O946:Q947"/>
    <mergeCell ref="R946:U947"/>
    <mergeCell ref="V946:Z947"/>
    <mergeCell ref="AA946:AC947"/>
    <mergeCell ref="A948:K948"/>
    <mergeCell ref="L948:N948"/>
    <mergeCell ref="O948:Q948"/>
    <mergeCell ref="R948:U948"/>
    <mergeCell ref="V948:Z948"/>
    <mergeCell ref="I940:Q940"/>
    <mergeCell ref="R940:U940"/>
    <mergeCell ref="A941:H941"/>
    <mergeCell ref="I941:Q941"/>
    <mergeCell ref="R941:U941"/>
    <mergeCell ref="V941:AC943"/>
    <mergeCell ref="A942:H943"/>
    <mergeCell ref="I942:Q943"/>
    <mergeCell ref="R942:U943"/>
    <mergeCell ref="A932:AC932"/>
    <mergeCell ref="A933:AC933"/>
    <mergeCell ref="A934:AC934"/>
    <mergeCell ref="A935:AC935"/>
    <mergeCell ref="A937:AC937"/>
    <mergeCell ref="A939:H939"/>
    <mergeCell ref="I939:Q939"/>
    <mergeCell ref="R939:U939"/>
    <mergeCell ref="V939:AC940"/>
    <mergeCell ref="A940:H940"/>
    <mergeCell ref="A921:A922"/>
    <mergeCell ref="B922:B923"/>
    <mergeCell ref="M924:R924"/>
    <mergeCell ref="M927:R927"/>
    <mergeCell ref="M928:R928"/>
    <mergeCell ref="AA915:AC917"/>
    <mergeCell ref="A918:E918"/>
    <mergeCell ref="F918:L918"/>
    <mergeCell ref="N918:Q918"/>
    <mergeCell ref="R918:U918"/>
    <mergeCell ref="V918:Z918"/>
    <mergeCell ref="AA918:AC918"/>
    <mergeCell ref="C922:AC923"/>
    <mergeCell ref="N912:P912"/>
    <mergeCell ref="Q912:S912"/>
    <mergeCell ref="T912:U912"/>
    <mergeCell ref="V912:Z912"/>
    <mergeCell ref="AA912:AC912"/>
    <mergeCell ref="A915:E917"/>
    <mergeCell ref="F915:L917"/>
    <mergeCell ref="N915:Q917"/>
    <mergeCell ref="R915:U917"/>
    <mergeCell ref="V915:Z917"/>
    <mergeCell ref="A912:B912"/>
    <mergeCell ref="C912:D912"/>
    <mergeCell ref="E912:F912"/>
    <mergeCell ref="G912:H912"/>
    <mergeCell ref="I912:J912"/>
    <mergeCell ref="K912:L912"/>
    <mergeCell ref="AA909:AC911"/>
    <mergeCell ref="A911:B911"/>
    <mergeCell ref="C911:D911"/>
    <mergeCell ref="E911:F911"/>
    <mergeCell ref="G911:H911"/>
    <mergeCell ref="I911:J911"/>
    <mergeCell ref="K911:L911"/>
    <mergeCell ref="N911:P911"/>
    <mergeCell ref="Q911:S911"/>
    <mergeCell ref="A909:D910"/>
    <mergeCell ref="E909:H910"/>
    <mergeCell ref="I909:L910"/>
    <mergeCell ref="N909:S910"/>
    <mergeCell ref="T909:U911"/>
    <mergeCell ref="V909:Z911"/>
    <mergeCell ref="A903:I903"/>
    <mergeCell ref="AB903:AC903"/>
    <mergeCell ref="A904:I904"/>
    <mergeCell ref="AB904:AC904"/>
    <mergeCell ref="A905:I905"/>
    <mergeCell ref="AB905:AC905"/>
    <mergeCell ref="AB898:AC899"/>
    <mergeCell ref="A900:I900"/>
    <mergeCell ref="AB900:AC900"/>
    <mergeCell ref="A901:I901"/>
    <mergeCell ref="AB901:AC901"/>
    <mergeCell ref="A902:I902"/>
    <mergeCell ref="AB902:AC902"/>
    <mergeCell ref="A895:AC896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A898"/>
    <mergeCell ref="A893:K893"/>
    <mergeCell ref="L893:N893"/>
    <mergeCell ref="O893:Q893"/>
    <mergeCell ref="R893:U893"/>
    <mergeCell ref="V893:Z893"/>
    <mergeCell ref="AA893:AC893"/>
    <mergeCell ref="A892:K892"/>
    <mergeCell ref="L892:N892"/>
    <mergeCell ref="O892:Q892"/>
    <mergeCell ref="R892:U892"/>
    <mergeCell ref="V892:Z892"/>
    <mergeCell ref="AA892:AC892"/>
    <mergeCell ref="AA890:AC890"/>
    <mergeCell ref="A891:K891"/>
    <mergeCell ref="L891:N891"/>
    <mergeCell ref="O891:Q891"/>
    <mergeCell ref="R891:U891"/>
    <mergeCell ref="V891:Z891"/>
    <mergeCell ref="AA891:AC891"/>
    <mergeCell ref="L888:N889"/>
    <mergeCell ref="O888:Q889"/>
    <mergeCell ref="R888:U889"/>
    <mergeCell ref="V888:Z889"/>
    <mergeCell ref="AA888:AC889"/>
    <mergeCell ref="A890:K890"/>
    <mergeCell ref="L890:N890"/>
    <mergeCell ref="O890:Q890"/>
    <mergeCell ref="R890:U890"/>
    <mergeCell ref="V890:Z890"/>
    <mergeCell ref="I882:Q882"/>
    <mergeCell ref="R882:U882"/>
    <mergeCell ref="A883:H883"/>
    <mergeCell ref="I883:Q883"/>
    <mergeCell ref="R883:U883"/>
    <mergeCell ref="V883:AC885"/>
    <mergeCell ref="A884:H885"/>
    <mergeCell ref="I884:Q885"/>
    <mergeCell ref="R884:U885"/>
    <mergeCell ref="A874:AC874"/>
    <mergeCell ref="A875:AC875"/>
    <mergeCell ref="A876:AC876"/>
    <mergeCell ref="A877:AC877"/>
    <mergeCell ref="A879:AC879"/>
    <mergeCell ref="A881:H881"/>
    <mergeCell ref="I881:Q881"/>
    <mergeCell ref="R881:U881"/>
    <mergeCell ref="V881:AC882"/>
    <mergeCell ref="A882:H882"/>
    <mergeCell ref="A863:A864"/>
    <mergeCell ref="B864:B865"/>
    <mergeCell ref="M866:R866"/>
    <mergeCell ref="M869:R869"/>
    <mergeCell ref="M870:R870"/>
    <mergeCell ref="AA857:AC859"/>
    <mergeCell ref="A860:E860"/>
    <mergeCell ref="F860:L860"/>
    <mergeCell ref="N860:Q860"/>
    <mergeCell ref="R860:U860"/>
    <mergeCell ref="V860:Z860"/>
    <mergeCell ref="AA860:AC860"/>
    <mergeCell ref="C864:AC865"/>
    <mergeCell ref="N854:P854"/>
    <mergeCell ref="Q854:S854"/>
    <mergeCell ref="T854:U854"/>
    <mergeCell ref="V854:Z854"/>
    <mergeCell ref="AA854:AC854"/>
    <mergeCell ref="A857:E859"/>
    <mergeCell ref="F857:L859"/>
    <mergeCell ref="N857:Q859"/>
    <mergeCell ref="R857:U859"/>
    <mergeCell ref="V857:Z859"/>
    <mergeCell ref="A854:B854"/>
    <mergeCell ref="C854:D854"/>
    <mergeCell ref="E854:F854"/>
    <mergeCell ref="G854:H854"/>
    <mergeCell ref="I854:J854"/>
    <mergeCell ref="K854:L854"/>
    <mergeCell ref="AA851:AC853"/>
    <mergeCell ref="A853:B853"/>
    <mergeCell ref="C853:D853"/>
    <mergeCell ref="E853:F853"/>
    <mergeCell ref="G853:H853"/>
    <mergeCell ref="I853:J853"/>
    <mergeCell ref="K853:L853"/>
    <mergeCell ref="N853:P853"/>
    <mergeCell ref="Q853:S853"/>
    <mergeCell ref="A851:D852"/>
    <mergeCell ref="E851:H852"/>
    <mergeCell ref="I851:L852"/>
    <mergeCell ref="N851:S852"/>
    <mergeCell ref="T851:U853"/>
    <mergeCell ref="V851:Z853"/>
    <mergeCell ref="A845:I845"/>
    <mergeCell ref="AB845:AC845"/>
    <mergeCell ref="A846:I846"/>
    <mergeCell ref="AB846:AC846"/>
    <mergeCell ref="A847:I847"/>
    <mergeCell ref="AB847:AC847"/>
    <mergeCell ref="AB840:AC841"/>
    <mergeCell ref="A842:I842"/>
    <mergeCell ref="AB842:AC842"/>
    <mergeCell ref="A843:I843"/>
    <mergeCell ref="AB843:AC843"/>
    <mergeCell ref="A844:I844"/>
    <mergeCell ref="AB844:AC844"/>
    <mergeCell ref="A837:AC838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A840"/>
    <mergeCell ref="A835:K835"/>
    <mergeCell ref="L835:N835"/>
    <mergeCell ref="O835:Q835"/>
    <mergeCell ref="R835:U835"/>
    <mergeCell ref="V835:Z835"/>
    <mergeCell ref="AA835:AC835"/>
    <mergeCell ref="A834:K834"/>
    <mergeCell ref="L834:N834"/>
    <mergeCell ref="O834:Q834"/>
    <mergeCell ref="R834:U834"/>
    <mergeCell ref="V834:Z834"/>
    <mergeCell ref="AA834:AC834"/>
    <mergeCell ref="AA832:AC832"/>
    <mergeCell ref="A833:K833"/>
    <mergeCell ref="L833:N833"/>
    <mergeCell ref="O833:Q833"/>
    <mergeCell ref="R833:U833"/>
    <mergeCell ref="V833:Z833"/>
    <mergeCell ref="AA833:AC833"/>
    <mergeCell ref="L830:N831"/>
    <mergeCell ref="O830:Q831"/>
    <mergeCell ref="R830:U831"/>
    <mergeCell ref="V830:Z831"/>
    <mergeCell ref="AA830:AC831"/>
    <mergeCell ref="A832:K832"/>
    <mergeCell ref="L832:N832"/>
    <mergeCell ref="O832:Q832"/>
    <mergeCell ref="R832:U832"/>
    <mergeCell ref="V832:Z832"/>
    <mergeCell ref="I824:Q824"/>
    <mergeCell ref="R824:U824"/>
    <mergeCell ref="A825:H825"/>
    <mergeCell ref="I825:Q825"/>
    <mergeCell ref="R825:U825"/>
    <mergeCell ref="V825:AC827"/>
    <mergeCell ref="A826:H827"/>
    <mergeCell ref="I826:Q827"/>
    <mergeCell ref="R826:U827"/>
    <mergeCell ref="A816:AC816"/>
    <mergeCell ref="A817:AC817"/>
    <mergeCell ref="A818:AC818"/>
    <mergeCell ref="A819:AC819"/>
    <mergeCell ref="A821:AC821"/>
    <mergeCell ref="A823:H823"/>
    <mergeCell ref="I823:Q823"/>
    <mergeCell ref="R823:U823"/>
    <mergeCell ref="V823:AC824"/>
    <mergeCell ref="A824:H824"/>
    <mergeCell ref="A805:A806"/>
    <mergeCell ref="B806:B807"/>
    <mergeCell ref="M808:R808"/>
    <mergeCell ref="M811:R811"/>
    <mergeCell ref="M812:R812"/>
    <mergeCell ref="AA799:AC801"/>
    <mergeCell ref="A802:E802"/>
    <mergeCell ref="F802:L802"/>
    <mergeCell ref="N802:Q802"/>
    <mergeCell ref="R802:U802"/>
    <mergeCell ref="V802:Z802"/>
    <mergeCell ref="AA802:AC802"/>
    <mergeCell ref="C806:AC807"/>
    <mergeCell ref="N796:P796"/>
    <mergeCell ref="Q796:S796"/>
    <mergeCell ref="T796:U796"/>
    <mergeCell ref="V796:Z796"/>
    <mergeCell ref="AA796:AC796"/>
    <mergeCell ref="A799:E801"/>
    <mergeCell ref="F799:L801"/>
    <mergeCell ref="N799:Q801"/>
    <mergeCell ref="R799:U801"/>
    <mergeCell ref="V799:Z801"/>
    <mergeCell ref="A796:B796"/>
    <mergeCell ref="C796:D796"/>
    <mergeCell ref="E796:F796"/>
    <mergeCell ref="G796:H796"/>
    <mergeCell ref="I796:J796"/>
    <mergeCell ref="K796:L796"/>
    <mergeCell ref="AA793:AC795"/>
    <mergeCell ref="A795:B795"/>
    <mergeCell ref="C795:D795"/>
    <mergeCell ref="E795:F795"/>
    <mergeCell ref="G795:H795"/>
    <mergeCell ref="I795:J795"/>
    <mergeCell ref="K795:L795"/>
    <mergeCell ref="N795:P795"/>
    <mergeCell ref="Q795:S795"/>
    <mergeCell ref="A793:D794"/>
    <mergeCell ref="E793:H794"/>
    <mergeCell ref="I793:L794"/>
    <mergeCell ref="N793:S794"/>
    <mergeCell ref="T793:U795"/>
    <mergeCell ref="V793:Z795"/>
    <mergeCell ref="A787:I787"/>
    <mergeCell ref="AB787:AC787"/>
    <mergeCell ref="A788:I788"/>
    <mergeCell ref="AB788:AC788"/>
    <mergeCell ref="A789:I789"/>
    <mergeCell ref="AB789:AC789"/>
    <mergeCell ref="AB782:AC783"/>
    <mergeCell ref="A784:I784"/>
    <mergeCell ref="AB784:AC784"/>
    <mergeCell ref="A785:I785"/>
    <mergeCell ref="AB785:AC785"/>
    <mergeCell ref="A786:I786"/>
    <mergeCell ref="AB786:AC786"/>
    <mergeCell ref="A779:AC780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A782"/>
    <mergeCell ref="A777:K777"/>
    <mergeCell ref="L777:N777"/>
    <mergeCell ref="O777:Q777"/>
    <mergeCell ref="R777:U777"/>
    <mergeCell ref="V777:Z777"/>
    <mergeCell ref="AA777:AC777"/>
    <mergeCell ref="A776:K776"/>
    <mergeCell ref="L776:N776"/>
    <mergeCell ref="O776:Q776"/>
    <mergeCell ref="R776:U776"/>
    <mergeCell ref="V776:Z776"/>
    <mergeCell ref="AA776:AC776"/>
    <mergeCell ref="AA774:AC774"/>
    <mergeCell ref="A775:K775"/>
    <mergeCell ref="L775:N775"/>
    <mergeCell ref="O775:Q775"/>
    <mergeCell ref="R775:U775"/>
    <mergeCell ref="V775:Z775"/>
    <mergeCell ref="AA775:AC775"/>
    <mergeCell ref="L772:N773"/>
    <mergeCell ref="O772:Q773"/>
    <mergeCell ref="R772:U773"/>
    <mergeCell ref="V772:Z773"/>
    <mergeCell ref="AA772:AC773"/>
    <mergeCell ref="A774:K774"/>
    <mergeCell ref="L774:N774"/>
    <mergeCell ref="O774:Q774"/>
    <mergeCell ref="R774:U774"/>
    <mergeCell ref="V774:Z774"/>
    <mergeCell ref="I766:Q766"/>
    <mergeCell ref="R766:U766"/>
    <mergeCell ref="A767:H767"/>
    <mergeCell ref="I767:Q767"/>
    <mergeCell ref="R767:U767"/>
    <mergeCell ref="V767:AC769"/>
    <mergeCell ref="A768:H769"/>
    <mergeCell ref="I768:Q769"/>
    <mergeCell ref="R768:U769"/>
    <mergeCell ref="A758:AC758"/>
    <mergeCell ref="A759:AC759"/>
    <mergeCell ref="A760:AC760"/>
    <mergeCell ref="A761:AC761"/>
    <mergeCell ref="A763:AC763"/>
    <mergeCell ref="A765:H765"/>
    <mergeCell ref="I765:Q765"/>
    <mergeCell ref="R765:U765"/>
    <mergeCell ref="V765:AC766"/>
    <mergeCell ref="A766:H766"/>
    <mergeCell ref="A747:A748"/>
    <mergeCell ref="B748:B749"/>
    <mergeCell ref="M750:R750"/>
    <mergeCell ref="M753:R753"/>
    <mergeCell ref="M754:R754"/>
    <mergeCell ref="AA741:AC743"/>
    <mergeCell ref="A744:E744"/>
    <mergeCell ref="F744:L744"/>
    <mergeCell ref="N744:Q744"/>
    <mergeCell ref="R744:U744"/>
    <mergeCell ref="V744:Z744"/>
    <mergeCell ref="AA744:AC744"/>
    <mergeCell ref="C748:AC749"/>
    <mergeCell ref="N738:P738"/>
    <mergeCell ref="Q738:S738"/>
    <mergeCell ref="T738:U738"/>
    <mergeCell ref="V738:Z738"/>
    <mergeCell ref="AA738:AC738"/>
    <mergeCell ref="A741:E743"/>
    <mergeCell ref="F741:L743"/>
    <mergeCell ref="N741:Q743"/>
    <mergeCell ref="R741:U743"/>
    <mergeCell ref="V741:Z743"/>
    <mergeCell ref="A738:B738"/>
    <mergeCell ref="C738:D738"/>
    <mergeCell ref="E738:F738"/>
    <mergeCell ref="G738:H738"/>
    <mergeCell ref="I738:J738"/>
    <mergeCell ref="K738:L738"/>
    <mergeCell ref="AA735:AC737"/>
    <mergeCell ref="A737:B737"/>
    <mergeCell ref="C737:D737"/>
    <mergeCell ref="E737:F737"/>
    <mergeCell ref="G737:H737"/>
    <mergeCell ref="I737:J737"/>
    <mergeCell ref="K737:L737"/>
    <mergeCell ref="N737:P737"/>
    <mergeCell ref="Q737:S737"/>
    <mergeCell ref="A735:D736"/>
    <mergeCell ref="E735:H736"/>
    <mergeCell ref="I735:L736"/>
    <mergeCell ref="N735:S736"/>
    <mergeCell ref="T735:U737"/>
    <mergeCell ref="V735:Z737"/>
    <mergeCell ref="A729:I729"/>
    <mergeCell ref="AB729:AC729"/>
    <mergeCell ref="A730:I730"/>
    <mergeCell ref="AB730:AC730"/>
    <mergeCell ref="A731:I731"/>
    <mergeCell ref="AB731:AC731"/>
    <mergeCell ref="AB724:AC725"/>
    <mergeCell ref="A726:I726"/>
    <mergeCell ref="AB726:AC726"/>
    <mergeCell ref="A727:I727"/>
    <mergeCell ref="AB727:AC727"/>
    <mergeCell ref="A728:I728"/>
    <mergeCell ref="AB728:AC728"/>
    <mergeCell ref="A721:AC722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A724"/>
    <mergeCell ref="A719:K719"/>
    <mergeCell ref="L719:N719"/>
    <mergeCell ref="O719:Q719"/>
    <mergeCell ref="R719:U719"/>
    <mergeCell ref="V719:Z719"/>
    <mergeCell ref="AA719:AC719"/>
    <mergeCell ref="A718:K718"/>
    <mergeCell ref="L718:N718"/>
    <mergeCell ref="O718:Q718"/>
    <mergeCell ref="R718:U718"/>
    <mergeCell ref="V718:Z718"/>
    <mergeCell ref="AA718:AC718"/>
    <mergeCell ref="AA716:AC716"/>
    <mergeCell ref="A717:K717"/>
    <mergeCell ref="L717:N717"/>
    <mergeCell ref="O717:Q717"/>
    <mergeCell ref="R717:U717"/>
    <mergeCell ref="V717:Z717"/>
    <mergeCell ref="AA717:AC717"/>
    <mergeCell ref="L714:N715"/>
    <mergeCell ref="O714:Q715"/>
    <mergeCell ref="R714:U715"/>
    <mergeCell ref="V714:Z715"/>
    <mergeCell ref="AA714:AC715"/>
    <mergeCell ref="A716:K716"/>
    <mergeCell ref="L716:N716"/>
    <mergeCell ref="O716:Q716"/>
    <mergeCell ref="R716:U716"/>
    <mergeCell ref="V716:Z716"/>
    <mergeCell ref="I708:Q708"/>
    <mergeCell ref="R708:U708"/>
    <mergeCell ref="A709:H709"/>
    <mergeCell ref="I709:Q709"/>
    <mergeCell ref="R709:U709"/>
    <mergeCell ref="V709:AC711"/>
    <mergeCell ref="A710:H711"/>
    <mergeCell ref="I710:Q711"/>
    <mergeCell ref="R710:U711"/>
    <mergeCell ref="A700:AC700"/>
    <mergeCell ref="A701:AC701"/>
    <mergeCell ref="A702:AC702"/>
    <mergeCell ref="A703:AC703"/>
    <mergeCell ref="A705:AC705"/>
    <mergeCell ref="A707:H707"/>
    <mergeCell ref="I707:Q707"/>
    <mergeCell ref="R707:U707"/>
    <mergeCell ref="V707:AC708"/>
    <mergeCell ref="A708:H708"/>
    <mergeCell ref="A689:A690"/>
    <mergeCell ref="B690:B691"/>
    <mergeCell ref="M692:R692"/>
    <mergeCell ref="M695:R695"/>
    <mergeCell ref="M696:R696"/>
    <mergeCell ref="AA683:AC685"/>
    <mergeCell ref="A686:E686"/>
    <mergeCell ref="F686:L686"/>
    <mergeCell ref="N686:Q686"/>
    <mergeCell ref="R686:U686"/>
    <mergeCell ref="V686:Z686"/>
    <mergeCell ref="AA686:AC686"/>
    <mergeCell ref="C690:AC691"/>
    <mergeCell ref="N680:P680"/>
    <mergeCell ref="Q680:S680"/>
    <mergeCell ref="T680:U680"/>
    <mergeCell ref="V680:Z680"/>
    <mergeCell ref="AA680:AC680"/>
    <mergeCell ref="A683:E685"/>
    <mergeCell ref="F683:L685"/>
    <mergeCell ref="N683:Q685"/>
    <mergeCell ref="R683:U685"/>
    <mergeCell ref="V683:Z685"/>
    <mergeCell ref="A680:B680"/>
    <mergeCell ref="C680:D680"/>
    <mergeCell ref="E680:F680"/>
    <mergeCell ref="G680:H680"/>
    <mergeCell ref="I680:J680"/>
    <mergeCell ref="K680:L680"/>
    <mergeCell ref="AA677:AC679"/>
    <mergeCell ref="A679:B679"/>
    <mergeCell ref="C679:D679"/>
    <mergeCell ref="E679:F679"/>
    <mergeCell ref="G679:H679"/>
    <mergeCell ref="I679:J679"/>
    <mergeCell ref="K679:L679"/>
    <mergeCell ref="N679:P679"/>
    <mergeCell ref="Q679:S679"/>
    <mergeCell ref="A677:D678"/>
    <mergeCell ref="E677:H678"/>
    <mergeCell ref="I677:L678"/>
    <mergeCell ref="N677:S678"/>
    <mergeCell ref="T677:U679"/>
    <mergeCell ref="V677:Z679"/>
    <mergeCell ref="A671:I671"/>
    <mergeCell ref="AB671:AC671"/>
    <mergeCell ref="A672:I672"/>
    <mergeCell ref="AB672:AC672"/>
    <mergeCell ref="A673:I673"/>
    <mergeCell ref="AB673:AC673"/>
    <mergeCell ref="AB666:AC667"/>
    <mergeCell ref="A668:I668"/>
    <mergeCell ref="AB668:AC668"/>
    <mergeCell ref="A669:I669"/>
    <mergeCell ref="AB669:AC669"/>
    <mergeCell ref="A670:I670"/>
    <mergeCell ref="AB670:AC670"/>
    <mergeCell ref="A663:AC664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A666"/>
    <mergeCell ref="A661:K661"/>
    <mergeCell ref="L661:N661"/>
    <mergeCell ref="O661:Q661"/>
    <mergeCell ref="R661:U661"/>
    <mergeCell ref="V661:Z661"/>
    <mergeCell ref="AA661:AC661"/>
    <mergeCell ref="A660:K660"/>
    <mergeCell ref="L660:N660"/>
    <mergeCell ref="O660:Q660"/>
    <mergeCell ref="R660:U660"/>
    <mergeCell ref="V660:Z660"/>
    <mergeCell ref="AA660:AC660"/>
    <mergeCell ref="AA658:AC658"/>
    <mergeCell ref="A659:K659"/>
    <mergeCell ref="L659:N659"/>
    <mergeCell ref="O659:Q659"/>
    <mergeCell ref="R659:U659"/>
    <mergeCell ref="V659:Z659"/>
    <mergeCell ref="AA659:AC659"/>
    <mergeCell ref="L656:N657"/>
    <mergeCell ref="O656:Q657"/>
    <mergeCell ref="R656:U657"/>
    <mergeCell ref="V656:Z657"/>
    <mergeCell ref="AA656:AC657"/>
    <mergeCell ref="A658:K658"/>
    <mergeCell ref="L658:N658"/>
    <mergeCell ref="O658:Q658"/>
    <mergeCell ref="R658:U658"/>
    <mergeCell ref="V658:Z658"/>
    <mergeCell ref="I650:Q650"/>
    <mergeCell ref="R650:U650"/>
    <mergeCell ref="A651:H651"/>
    <mergeCell ref="I651:Q651"/>
    <mergeCell ref="R651:U651"/>
    <mergeCell ref="V651:AC653"/>
    <mergeCell ref="A652:H653"/>
    <mergeCell ref="I652:Q653"/>
    <mergeCell ref="R652:U653"/>
    <mergeCell ref="A642:AC642"/>
    <mergeCell ref="A643:AC643"/>
    <mergeCell ref="A644:AC644"/>
    <mergeCell ref="A645:AC645"/>
    <mergeCell ref="A647:AC647"/>
    <mergeCell ref="A649:H649"/>
    <mergeCell ref="I649:Q649"/>
    <mergeCell ref="R649:U649"/>
    <mergeCell ref="V649:AC650"/>
    <mergeCell ref="A650:H650"/>
    <mergeCell ref="A631:A632"/>
    <mergeCell ref="B632:B633"/>
    <mergeCell ref="M634:R634"/>
    <mergeCell ref="M637:R637"/>
    <mergeCell ref="M638:R638"/>
    <mergeCell ref="AA625:AC627"/>
    <mergeCell ref="A628:E628"/>
    <mergeCell ref="F628:L628"/>
    <mergeCell ref="N628:Q628"/>
    <mergeCell ref="R628:U628"/>
    <mergeCell ref="V628:Z628"/>
    <mergeCell ref="AA628:AC628"/>
    <mergeCell ref="C632:AC633"/>
    <mergeCell ref="N622:P622"/>
    <mergeCell ref="Q622:S622"/>
    <mergeCell ref="T622:U622"/>
    <mergeCell ref="V622:Z622"/>
    <mergeCell ref="AA622:AC622"/>
    <mergeCell ref="A625:E627"/>
    <mergeCell ref="F625:L627"/>
    <mergeCell ref="N625:Q627"/>
    <mergeCell ref="R625:U627"/>
    <mergeCell ref="V625:Z627"/>
    <mergeCell ref="A622:B622"/>
    <mergeCell ref="C622:D622"/>
    <mergeCell ref="E622:F622"/>
    <mergeCell ref="G622:H622"/>
    <mergeCell ref="I622:J622"/>
    <mergeCell ref="K622:L622"/>
    <mergeCell ref="AA619:AC621"/>
    <mergeCell ref="A621:B621"/>
    <mergeCell ref="C621:D621"/>
    <mergeCell ref="E621:F621"/>
    <mergeCell ref="G621:H621"/>
    <mergeCell ref="I621:J621"/>
    <mergeCell ref="K621:L621"/>
    <mergeCell ref="N621:P621"/>
    <mergeCell ref="Q621:S621"/>
    <mergeCell ref="A619:D620"/>
    <mergeCell ref="E619:H620"/>
    <mergeCell ref="I619:L620"/>
    <mergeCell ref="N619:S620"/>
    <mergeCell ref="T619:U621"/>
    <mergeCell ref="V619:Z621"/>
    <mergeCell ref="A613:I613"/>
    <mergeCell ref="AB613:AC613"/>
    <mergeCell ref="A614:I614"/>
    <mergeCell ref="AB614:AC614"/>
    <mergeCell ref="A615:I615"/>
    <mergeCell ref="AB615:AC615"/>
    <mergeCell ref="AB608:AC609"/>
    <mergeCell ref="A610:I610"/>
    <mergeCell ref="AB610:AC610"/>
    <mergeCell ref="A611:I611"/>
    <mergeCell ref="AB611:AC611"/>
    <mergeCell ref="A612:I612"/>
    <mergeCell ref="AB612:AC612"/>
    <mergeCell ref="A605:AC606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A608"/>
    <mergeCell ref="A603:K603"/>
    <mergeCell ref="L603:N603"/>
    <mergeCell ref="O603:Q603"/>
    <mergeCell ref="R603:U603"/>
    <mergeCell ref="V603:Z603"/>
    <mergeCell ref="AA603:AC603"/>
    <mergeCell ref="A602:K602"/>
    <mergeCell ref="L602:N602"/>
    <mergeCell ref="O602:Q602"/>
    <mergeCell ref="R602:U602"/>
    <mergeCell ref="V602:Z602"/>
    <mergeCell ref="AA602:AC602"/>
    <mergeCell ref="AA600:AC600"/>
    <mergeCell ref="A601:K601"/>
    <mergeCell ref="L601:N601"/>
    <mergeCell ref="O601:Q601"/>
    <mergeCell ref="R601:U601"/>
    <mergeCell ref="V601:Z601"/>
    <mergeCell ref="AA601:AC601"/>
    <mergeCell ref="L598:N599"/>
    <mergeCell ref="O598:Q599"/>
    <mergeCell ref="R598:U599"/>
    <mergeCell ref="V598:Z599"/>
    <mergeCell ref="AA598:AC599"/>
    <mergeCell ref="A600:K600"/>
    <mergeCell ref="L600:N600"/>
    <mergeCell ref="O600:Q600"/>
    <mergeCell ref="R600:U600"/>
    <mergeCell ref="V600:Z600"/>
    <mergeCell ref="I592:Q592"/>
    <mergeCell ref="R592:U592"/>
    <mergeCell ref="A593:H593"/>
    <mergeCell ref="I593:Q593"/>
    <mergeCell ref="R593:U593"/>
    <mergeCell ref="V593:AC595"/>
    <mergeCell ref="A594:H595"/>
    <mergeCell ref="I594:Q595"/>
    <mergeCell ref="R594:U595"/>
    <mergeCell ref="A584:AC584"/>
    <mergeCell ref="A585:AC585"/>
    <mergeCell ref="A586:AC586"/>
    <mergeCell ref="A587:AC587"/>
    <mergeCell ref="A589:AC589"/>
    <mergeCell ref="A591:H591"/>
    <mergeCell ref="I591:Q591"/>
    <mergeCell ref="R591:U591"/>
    <mergeCell ref="V591:AC592"/>
    <mergeCell ref="A592:H592"/>
    <mergeCell ref="A573:A574"/>
    <mergeCell ref="B574:B575"/>
    <mergeCell ref="M576:R576"/>
    <mergeCell ref="M579:R579"/>
    <mergeCell ref="M580:R580"/>
    <mergeCell ref="AA567:AC569"/>
    <mergeCell ref="A570:E570"/>
    <mergeCell ref="F570:L570"/>
    <mergeCell ref="N570:Q570"/>
    <mergeCell ref="R570:U570"/>
    <mergeCell ref="V570:Z570"/>
    <mergeCell ref="AA570:AC570"/>
    <mergeCell ref="C574:AC575"/>
    <mergeCell ref="N564:P564"/>
    <mergeCell ref="Q564:S564"/>
    <mergeCell ref="T564:U564"/>
    <mergeCell ref="V564:Z564"/>
    <mergeCell ref="AA564:AC564"/>
    <mergeCell ref="A567:E569"/>
    <mergeCell ref="F567:L569"/>
    <mergeCell ref="N567:Q569"/>
    <mergeCell ref="R567:U569"/>
    <mergeCell ref="V567:Z569"/>
    <mergeCell ref="A564:B564"/>
    <mergeCell ref="C564:D564"/>
    <mergeCell ref="E564:F564"/>
    <mergeCell ref="G564:H564"/>
    <mergeCell ref="I564:J564"/>
    <mergeCell ref="K564:L564"/>
    <mergeCell ref="AA561:AC563"/>
    <mergeCell ref="A563:B563"/>
    <mergeCell ref="C563:D563"/>
    <mergeCell ref="E563:F563"/>
    <mergeCell ref="G563:H563"/>
    <mergeCell ref="I563:J563"/>
    <mergeCell ref="K563:L563"/>
    <mergeCell ref="N563:P563"/>
    <mergeCell ref="Q563:S563"/>
    <mergeCell ref="A561:D562"/>
    <mergeCell ref="E561:H562"/>
    <mergeCell ref="I561:L562"/>
    <mergeCell ref="N561:S562"/>
    <mergeCell ref="T561:U563"/>
    <mergeCell ref="V561:Z563"/>
    <mergeCell ref="A555:I555"/>
    <mergeCell ref="AB555:AC555"/>
    <mergeCell ref="A556:I556"/>
    <mergeCell ref="AB556:AC556"/>
    <mergeCell ref="A557:I557"/>
    <mergeCell ref="AB557:AC557"/>
    <mergeCell ref="AB550:AC551"/>
    <mergeCell ref="A552:I552"/>
    <mergeCell ref="AB552:AC552"/>
    <mergeCell ref="A553:I553"/>
    <mergeCell ref="AB553:AC553"/>
    <mergeCell ref="A554:I554"/>
    <mergeCell ref="AB554:AC554"/>
    <mergeCell ref="A547:AC548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A550"/>
    <mergeCell ref="A545:K545"/>
    <mergeCell ref="L545:N545"/>
    <mergeCell ref="O545:Q545"/>
    <mergeCell ref="R545:U545"/>
    <mergeCell ref="V545:Z545"/>
    <mergeCell ref="AA545:AC545"/>
    <mergeCell ref="A544:K544"/>
    <mergeCell ref="L544:N544"/>
    <mergeCell ref="O544:Q544"/>
    <mergeCell ref="R544:U544"/>
    <mergeCell ref="V544:Z544"/>
    <mergeCell ref="AA544:AC544"/>
    <mergeCell ref="AA542:AC542"/>
    <mergeCell ref="A543:K543"/>
    <mergeCell ref="L543:N543"/>
    <mergeCell ref="O543:Q543"/>
    <mergeCell ref="R543:U543"/>
    <mergeCell ref="V543:Z543"/>
    <mergeCell ref="AA543:AC543"/>
    <mergeCell ref="L540:N541"/>
    <mergeCell ref="O540:Q541"/>
    <mergeCell ref="R540:U541"/>
    <mergeCell ref="V540:Z541"/>
    <mergeCell ref="AA540:AC541"/>
    <mergeCell ref="A542:K542"/>
    <mergeCell ref="L542:N542"/>
    <mergeCell ref="O542:Q542"/>
    <mergeCell ref="R542:U542"/>
    <mergeCell ref="V542:Z542"/>
    <mergeCell ref="I534:Q534"/>
    <mergeCell ref="R534:U534"/>
    <mergeCell ref="A535:H535"/>
    <mergeCell ref="I535:Q535"/>
    <mergeCell ref="R535:U535"/>
    <mergeCell ref="V535:AC537"/>
    <mergeCell ref="A536:H537"/>
    <mergeCell ref="I536:Q537"/>
    <mergeCell ref="R536:U537"/>
    <mergeCell ref="A526:AC526"/>
    <mergeCell ref="A527:AC527"/>
    <mergeCell ref="A528:AC528"/>
    <mergeCell ref="A529:AC529"/>
    <mergeCell ref="A531:AC531"/>
    <mergeCell ref="A533:H533"/>
    <mergeCell ref="I533:Q533"/>
    <mergeCell ref="R533:U533"/>
    <mergeCell ref="V533:AC534"/>
    <mergeCell ref="A534:H534"/>
    <mergeCell ref="A515:A516"/>
    <mergeCell ref="B516:B517"/>
    <mergeCell ref="M518:R518"/>
    <mergeCell ref="M521:R521"/>
    <mergeCell ref="M522:R522"/>
    <mergeCell ref="AA509:AC511"/>
    <mergeCell ref="A512:E512"/>
    <mergeCell ref="F512:L512"/>
    <mergeCell ref="N512:Q512"/>
    <mergeCell ref="R512:U512"/>
    <mergeCell ref="V512:Z512"/>
    <mergeCell ref="AA512:AC512"/>
    <mergeCell ref="C516:AC517"/>
    <mergeCell ref="N506:P506"/>
    <mergeCell ref="Q506:S506"/>
    <mergeCell ref="T506:U506"/>
    <mergeCell ref="V506:Z506"/>
    <mergeCell ref="AA506:AC506"/>
    <mergeCell ref="A509:E511"/>
    <mergeCell ref="F509:L511"/>
    <mergeCell ref="N509:Q511"/>
    <mergeCell ref="R509:U511"/>
    <mergeCell ref="V509:Z511"/>
    <mergeCell ref="A506:B506"/>
    <mergeCell ref="C506:D506"/>
    <mergeCell ref="E506:F506"/>
    <mergeCell ref="G506:H506"/>
    <mergeCell ref="I506:J506"/>
    <mergeCell ref="K506:L506"/>
    <mergeCell ref="AA503:AC505"/>
    <mergeCell ref="A505:B505"/>
    <mergeCell ref="C505:D505"/>
    <mergeCell ref="E505:F505"/>
    <mergeCell ref="G505:H505"/>
    <mergeCell ref="I505:J505"/>
    <mergeCell ref="K505:L505"/>
    <mergeCell ref="N505:P505"/>
    <mergeCell ref="Q505:S505"/>
    <mergeCell ref="A503:D504"/>
    <mergeCell ref="E503:H504"/>
    <mergeCell ref="I503:L504"/>
    <mergeCell ref="N503:S504"/>
    <mergeCell ref="T503:U505"/>
    <mergeCell ref="V503:Z505"/>
    <mergeCell ref="A497:I497"/>
    <mergeCell ref="AB497:AC497"/>
    <mergeCell ref="A498:I498"/>
    <mergeCell ref="AB498:AC498"/>
    <mergeCell ref="A499:I499"/>
    <mergeCell ref="AB499:AC499"/>
    <mergeCell ref="AB492:AC493"/>
    <mergeCell ref="A494:I494"/>
    <mergeCell ref="AB494:AC494"/>
    <mergeCell ref="A495:I495"/>
    <mergeCell ref="AB495:AC495"/>
    <mergeCell ref="A496:I496"/>
    <mergeCell ref="AB496:AC496"/>
    <mergeCell ref="A489:AC490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A492"/>
    <mergeCell ref="A487:K487"/>
    <mergeCell ref="L487:N487"/>
    <mergeCell ref="O487:Q487"/>
    <mergeCell ref="R487:U487"/>
    <mergeCell ref="V487:Z487"/>
    <mergeCell ref="AA487:AC487"/>
    <mergeCell ref="A486:K486"/>
    <mergeCell ref="L486:N486"/>
    <mergeCell ref="O486:Q486"/>
    <mergeCell ref="R486:U486"/>
    <mergeCell ref="V486:Z486"/>
    <mergeCell ref="AA486:AC486"/>
    <mergeCell ref="AA484:AC484"/>
    <mergeCell ref="A485:K485"/>
    <mergeCell ref="L485:N485"/>
    <mergeCell ref="O485:Q485"/>
    <mergeCell ref="R485:U485"/>
    <mergeCell ref="V485:Z485"/>
    <mergeCell ref="AA485:AC485"/>
    <mergeCell ref="L482:N483"/>
    <mergeCell ref="O482:Q483"/>
    <mergeCell ref="R482:U483"/>
    <mergeCell ref="V482:Z483"/>
    <mergeCell ref="AA482:AC483"/>
    <mergeCell ref="A484:K484"/>
    <mergeCell ref="L484:N484"/>
    <mergeCell ref="O484:Q484"/>
    <mergeCell ref="R484:U484"/>
    <mergeCell ref="V484:Z484"/>
    <mergeCell ref="I476:Q476"/>
    <mergeCell ref="R476:U476"/>
    <mergeCell ref="A477:H477"/>
    <mergeCell ref="I477:Q477"/>
    <mergeCell ref="R477:U477"/>
    <mergeCell ref="V477:AC479"/>
    <mergeCell ref="A478:H479"/>
    <mergeCell ref="I478:Q479"/>
    <mergeCell ref="R478:U479"/>
    <mergeCell ref="A468:AC468"/>
    <mergeCell ref="A469:AC469"/>
    <mergeCell ref="A470:AC470"/>
    <mergeCell ref="A471:AC471"/>
    <mergeCell ref="A473:AC473"/>
    <mergeCell ref="A475:H475"/>
    <mergeCell ref="I475:Q475"/>
    <mergeCell ref="R475:U475"/>
    <mergeCell ref="V475:AC476"/>
    <mergeCell ref="A476:H476"/>
    <mergeCell ref="A457:A458"/>
    <mergeCell ref="B458:B459"/>
    <mergeCell ref="M460:R460"/>
    <mergeCell ref="M463:R463"/>
    <mergeCell ref="M464:R464"/>
    <mergeCell ref="AA451:AC453"/>
    <mergeCell ref="A454:E454"/>
    <mergeCell ref="F454:L454"/>
    <mergeCell ref="N454:Q454"/>
    <mergeCell ref="R454:U454"/>
    <mergeCell ref="V454:Z454"/>
    <mergeCell ref="AA454:AC454"/>
    <mergeCell ref="C458:AC459"/>
    <mergeCell ref="N448:P448"/>
    <mergeCell ref="Q448:S448"/>
    <mergeCell ref="T448:U448"/>
    <mergeCell ref="V448:Z448"/>
    <mergeCell ref="AA448:AC448"/>
    <mergeCell ref="A451:E453"/>
    <mergeCell ref="F451:L453"/>
    <mergeCell ref="N451:Q453"/>
    <mergeCell ref="R451:U453"/>
    <mergeCell ref="V451:Z453"/>
    <mergeCell ref="A448:B448"/>
    <mergeCell ref="C448:D448"/>
    <mergeCell ref="E448:F448"/>
    <mergeCell ref="G448:H448"/>
    <mergeCell ref="I448:J448"/>
    <mergeCell ref="K448:L448"/>
    <mergeCell ref="AA445:AC447"/>
    <mergeCell ref="A447:B447"/>
    <mergeCell ref="C447:D447"/>
    <mergeCell ref="E447:F447"/>
    <mergeCell ref="G447:H447"/>
    <mergeCell ref="I447:J447"/>
    <mergeCell ref="K447:L447"/>
    <mergeCell ref="N447:P447"/>
    <mergeCell ref="Q447:S447"/>
    <mergeCell ref="A445:D446"/>
    <mergeCell ref="E445:H446"/>
    <mergeCell ref="I445:L446"/>
    <mergeCell ref="N445:S446"/>
    <mergeCell ref="T445:U447"/>
    <mergeCell ref="V445:Z447"/>
    <mergeCell ref="A439:I439"/>
    <mergeCell ref="AB439:AC439"/>
    <mergeCell ref="A440:I440"/>
    <mergeCell ref="AB440:AC440"/>
    <mergeCell ref="A441:I441"/>
    <mergeCell ref="AB441:AC441"/>
    <mergeCell ref="AB434:AC435"/>
    <mergeCell ref="A436:I436"/>
    <mergeCell ref="AB436:AC436"/>
    <mergeCell ref="A437:I437"/>
    <mergeCell ref="AB437:AC437"/>
    <mergeCell ref="A438:I438"/>
    <mergeCell ref="AB438:AC438"/>
    <mergeCell ref="A431:AC432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A434"/>
    <mergeCell ref="A429:K429"/>
    <mergeCell ref="L429:N429"/>
    <mergeCell ref="O429:Q429"/>
    <mergeCell ref="R429:U429"/>
    <mergeCell ref="V429:Z429"/>
    <mergeCell ref="AA429:AC429"/>
    <mergeCell ref="A428:K428"/>
    <mergeCell ref="L428:N428"/>
    <mergeCell ref="O428:Q428"/>
    <mergeCell ref="R428:U428"/>
    <mergeCell ref="V428:Z428"/>
    <mergeCell ref="AA428:AC428"/>
    <mergeCell ref="AA426:AC426"/>
    <mergeCell ref="A427:K427"/>
    <mergeCell ref="L427:N427"/>
    <mergeCell ref="O427:Q427"/>
    <mergeCell ref="R427:U427"/>
    <mergeCell ref="V427:Z427"/>
    <mergeCell ref="AA427:AC427"/>
    <mergeCell ref="L424:N425"/>
    <mergeCell ref="O424:Q425"/>
    <mergeCell ref="R424:U425"/>
    <mergeCell ref="V424:Z425"/>
    <mergeCell ref="AA424:AC425"/>
    <mergeCell ref="A426:K426"/>
    <mergeCell ref="L426:N426"/>
    <mergeCell ref="O426:Q426"/>
    <mergeCell ref="R426:U426"/>
    <mergeCell ref="V426:Z426"/>
    <mergeCell ref="I418:Q418"/>
    <mergeCell ref="R418:U418"/>
    <mergeCell ref="A419:H419"/>
    <mergeCell ref="I419:Q419"/>
    <mergeCell ref="R419:U419"/>
    <mergeCell ref="V419:AC421"/>
    <mergeCell ref="A420:H421"/>
    <mergeCell ref="I420:Q421"/>
    <mergeCell ref="R420:U421"/>
    <mergeCell ref="A410:AC410"/>
    <mergeCell ref="A411:AC411"/>
    <mergeCell ref="A412:AC412"/>
    <mergeCell ref="A413:AC413"/>
    <mergeCell ref="A415:AC415"/>
    <mergeCell ref="A417:H417"/>
    <mergeCell ref="I417:Q417"/>
    <mergeCell ref="R417:U417"/>
    <mergeCell ref="V417:AC418"/>
    <mergeCell ref="A418:H418"/>
    <mergeCell ref="A399:A400"/>
    <mergeCell ref="B400:B401"/>
    <mergeCell ref="M402:R402"/>
    <mergeCell ref="M405:R405"/>
    <mergeCell ref="M406:R406"/>
    <mergeCell ref="AA393:AC395"/>
    <mergeCell ref="A396:E396"/>
    <mergeCell ref="F396:L396"/>
    <mergeCell ref="N396:Q396"/>
    <mergeCell ref="R396:U396"/>
    <mergeCell ref="V396:Z396"/>
    <mergeCell ref="AA396:AC396"/>
    <mergeCell ref="C400:AC401"/>
    <mergeCell ref="N390:P390"/>
    <mergeCell ref="Q390:S390"/>
    <mergeCell ref="T390:U390"/>
    <mergeCell ref="V390:Z390"/>
    <mergeCell ref="AA390:AC390"/>
    <mergeCell ref="A393:E395"/>
    <mergeCell ref="F393:L395"/>
    <mergeCell ref="N393:Q395"/>
    <mergeCell ref="R393:U395"/>
    <mergeCell ref="V393:Z395"/>
    <mergeCell ref="A390:B390"/>
    <mergeCell ref="C390:D390"/>
    <mergeCell ref="E390:F390"/>
    <mergeCell ref="G390:H390"/>
    <mergeCell ref="I390:J390"/>
    <mergeCell ref="K390:L390"/>
    <mergeCell ref="AA387:AC389"/>
    <mergeCell ref="A389:B389"/>
    <mergeCell ref="C389:D389"/>
    <mergeCell ref="E389:F389"/>
    <mergeCell ref="G389:H389"/>
    <mergeCell ref="I389:J389"/>
    <mergeCell ref="K389:L389"/>
    <mergeCell ref="N389:P389"/>
    <mergeCell ref="Q389:S389"/>
    <mergeCell ref="A387:D388"/>
    <mergeCell ref="E387:H388"/>
    <mergeCell ref="I387:L388"/>
    <mergeCell ref="N387:S388"/>
    <mergeCell ref="T387:U389"/>
    <mergeCell ref="V387:Z389"/>
    <mergeCell ref="A381:I381"/>
    <mergeCell ref="AB381:AC381"/>
    <mergeCell ref="A382:I382"/>
    <mergeCell ref="AB382:AC382"/>
    <mergeCell ref="A383:I383"/>
    <mergeCell ref="AB383:AC383"/>
    <mergeCell ref="AB376:AC377"/>
    <mergeCell ref="A378:I378"/>
    <mergeCell ref="AB378:AC378"/>
    <mergeCell ref="A379:I379"/>
    <mergeCell ref="AB379:AC379"/>
    <mergeCell ref="A380:I380"/>
    <mergeCell ref="AB380:AC380"/>
    <mergeCell ref="A373:AC374"/>
    <mergeCell ref="J376:K376"/>
    <mergeCell ref="L376:M376"/>
    <mergeCell ref="N376:O376"/>
    <mergeCell ref="P376:Q376"/>
    <mergeCell ref="R376:S376"/>
    <mergeCell ref="T376:U376"/>
    <mergeCell ref="V376:W376"/>
    <mergeCell ref="X376:Y376"/>
    <mergeCell ref="Z376:AA376"/>
    <mergeCell ref="A371:K371"/>
    <mergeCell ref="L371:N371"/>
    <mergeCell ref="O371:Q371"/>
    <mergeCell ref="R371:U371"/>
    <mergeCell ref="V371:Z371"/>
    <mergeCell ref="AA371:AC371"/>
    <mergeCell ref="A370:K370"/>
    <mergeCell ref="L370:N370"/>
    <mergeCell ref="O370:Q370"/>
    <mergeCell ref="R370:U370"/>
    <mergeCell ref="V370:Z370"/>
    <mergeCell ref="AA370:AC370"/>
    <mergeCell ref="AA368:AC368"/>
    <mergeCell ref="A369:K369"/>
    <mergeCell ref="L369:N369"/>
    <mergeCell ref="O369:Q369"/>
    <mergeCell ref="R369:U369"/>
    <mergeCell ref="V369:Z369"/>
    <mergeCell ref="AA369:AC369"/>
    <mergeCell ref="L366:N367"/>
    <mergeCell ref="O366:Q367"/>
    <mergeCell ref="R366:U367"/>
    <mergeCell ref="V366:Z367"/>
    <mergeCell ref="AA366:AC367"/>
    <mergeCell ref="A368:K368"/>
    <mergeCell ref="L368:N368"/>
    <mergeCell ref="O368:Q368"/>
    <mergeCell ref="R368:U368"/>
    <mergeCell ref="V368:Z368"/>
    <mergeCell ref="I360:Q360"/>
    <mergeCell ref="R360:U360"/>
    <mergeCell ref="A361:H361"/>
    <mergeCell ref="I361:Q361"/>
    <mergeCell ref="R361:U361"/>
    <mergeCell ref="V361:AC363"/>
    <mergeCell ref="A362:H363"/>
    <mergeCell ref="I362:Q363"/>
    <mergeCell ref="R362:U363"/>
    <mergeCell ref="A352:AC352"/>
    <mergeCell ref="A353:AC353"/>
    <mergeCell ref="A354:AC354"/>
    <mergeCell ref="A355:AC355"/>
    <mergeCell ref="A357:AC357"/>
    <mergeCell ref="A359:H359"/>
    <mergeCell ref="I359:Q359"/>
    <mergeCell ref="R359:U359"/>
    <mergeCell ref="V359:AC360"/>
    <mergeCell ref="A360:H360"/>
    <mergeCell ref="A341:A342"/>
    <mergeCell ref="B342:B343"/>
    <mergeCell ref="M344:R344"/>
    <mergeCell ref="M347:R347"/>
    <mergeCell ref="M348:R348"/>
    <mergeCell ref="AA335:AC337"/>
    <mergeCell ref="A338:E338"/>
    <mergeCell ref="F338:L338"/>
    <mergeCell ref="N338:Q338"/>
    <mergeCell ref="R338:U338"/>
    <mergeCell ref="V338:Z338"/>
    <mergeCell ref="AA338:AC338"/>
    <mergeCell ref="C342:AC343"/>
    <mergeCell ref="N332:P332"/>
    <mergeCell ref="Q332:S332"/>
    <mergeCell ref="T332:U332"/>
    <mergeCell ref="V332:Z332"/>
    <mergeCell ref="AA332:AC332"/>
    <mergeCell ref="A335:E337"/>
    <mergeCell ref="F335:L337"/>
    <mergeCell ref="N335:Q337"/>
    <mergeCell ref="R335:U337"/>
    <mergeCell ref="V335:Z337"/>
    <mergeCell ref="A332:B332"/>
    <mergeCell ref="C332:D332"/>
    <mergeCell ref="E332:F332"/>
    <mergeCell ref="G332:H332"/>
    <mergeCell ref="I332:J332"/>
    <mergeCell ref="K332:L332"/>
    <mergeCell ref="AA329:AC331"/>
    <mergeCell ref="A331:B331"/>
    <mergeCell ref="C331:D331"/>
    <mergeCell ref="E331:F331"/>
    <mergeCell ref="G331:H331"/>
    <mergeCell ref="I331:J331"/>
    <mergeCell ref="K331:L331"/>
    <mergeCell ref="N331:P331"/>
    <mergeCell ref="Q331:S331"/>
    <mergeCell ref="A329:D330"/>
    <mergeCell ref="E329:H330"/>
    <mergeCell ref="I329:L330"/>
    <mergeCell ref="N329:S330"/>
    <mergeCell ref="T329:U331"/>
    <mergeCell ref="V329:Z331"/>
    <mergeCell ref="A323:I323"/>
    <mergeCell ref="AB323:AC323"/>
    <mergeCell ref="A324:I324"/>
    <mergeCell ref="AB324:AC324"/>
    <mergeCell ref="A325:I325"/>
    <mergeCell ref="AB325:AC325"/>
    <mergeCell ref="AB318:AC319"/>
    <mergeCell ref="A320:I320"/>
    <mergeCell ref="AB320:AC320"/>
    <mergeCell ref="A321:I321"/>
    <mergeCell ref="AB321:AC321"/>
    <mergeCell ref="A322:I322"/>
    <mergeCell ref="AB322:AC322"/>
    <mergeCell ref="A315:AC316"/>
    <mergeCell ref="J318:K318"/>
    <mergeCell ref="L318:M318"/>
    <mergeCell ref="N318:O318"/>
    <mergeCell ref="P318:Q318"/>
    <mergeCell ref="R318:S318"/>
    <mergeCell ref="T318:U318"/>
    <mergeCell ref="V318:W318"/>
    <mergeCell ref="X318:Y318"/>
    <mergeCell ref="Z318:AA318"/>
    <mergeCell ref="A313:K313"/>
    <mergeCell ref="L313:N313"/>
    <mergeCell ref="O313:Q313"/>
    <mergeCell ref="R313:U313"/>
    <mergeCell ref="V313:Z313"/>
    <mergeCell ref="AA313:AC313"/>
    <mergeCell ref="A312:K312"/>
    <mergeCell ref="L312:N312"/>
    <mergeCell ref="O312:Q312"/>
    <mergeCell ref="R312:U312"/>
    <mergeCell ref="V312:Z312"/>
    <mergeCell ref="AA312:AC312"/>
    <mergeCell ref="AA310:AC310"/>
    <mergeCell ref="A311:K311"/>
    <mergeCell ref="L311:N311"/>
    <mergeCell ref="O311:Q311"/>
    <mergeCell ref="R311:U311"/>
    <mergeCell ref="V311:Z311"/>
    <mergeCell ref="AA311:AC311"/>
    <mergeCell ref="L308:N309"/>
    <mergeCell ref="O308:Q309"/>
    <mergeCell ref="R308:U309"/>
    <mergeCell ref="V308:Z309"/>
    <mergeCell ref="AA308:AC309"/>
    <mergeCell ref="A310:K310"/>
    <mergeCell ref="L310:N310"/>
    <mergeCell ref="O310:Q310"/>
    <mergeCell ref="R310:U310"/>
    <mergeCell ref="V310:Z310"/>
    <mergeCell ref="I302:Q302"/>
    <mergeCell ref="R302:U302"/>
    <mergeCell ref="A303:H303"/>
    <mergeCell ref="I303:Q303"/>
    <mergeCell ref="R303:U303"/>
    <mergeCell ref="V303:AC305"/>
    <mergeCell ref="A304:H305"/>
    <mergeCell ref="I304:Q305"/>
    <mergeCell ref="R304:U305"/>
    <mergeCell ref="A294:AC294"/>
    <mergeCell ref="A295:AC295"/>
    <mergeCell ref="A296:AC296"/>
    <mergeCell ref="A297:AC297"/>
    <mergeCell ref="A299:AC299"/>
    <mergeCell ref="A301:H301"/>
    <mergeCell ref="I301:Q301"/>
    <mergeCell ref="R301:U301"/>
    <mergeCell ref="V301:AC302"/>
    <mergeCell ref="A302:H302"/>
    <mergeCell ref="A283:A284"/>
    <mergeCell ref="B284:B285"/>
    <mergeCell ref="M286:R286"/>
    <mergeCell ref="M289:R289"/>
    <mergeCell ref="M290:R290"/>
    <mergeCell ref="AA277:AC279"/>
    <mergeCell ref="A280:E280"/>
    <mergeCell ref="F280:L280"/>
    <mergeCell ref="N280:Q280"/>
    <mergeCell ref="R280:U280"/>
    <mergeCell ref="V280:Z280"/>
    <mergeCell ref="AA280:AC280"/>
    <mergeCell ref="C284:AC285"/>
    <mergeCell ref="N274:P274"/>
    <mergeCell ref="Q274:S274"/>
    <mergeCell ref="T274:U274"/>
    <mergeCell ref="V274:Z274"/>
    <mergeCell ref="AA274:AC274"/>
    <mergeCell ref="A277:E279"/>
    <mergeCell ref="F277:L279"/>
    <mergeCell ref="N277:Q279"/>
    <mergeCell ref="R277:U279"/>
    <mergeCell ref="V277:Z279"/>
    <mergeCell ref="A274:B274"/>
    <mergeCell ref="C274:D274"/>
    <mergeCell ref="E274:F274"/>
    <mergeCell ref="G274:H274"/>
    <mergeCell ref="I274:J274"/>
    <mergeCell ref="K274:L274"/>
    <mergeCell ref="AA271:AC273"/>
    <mergeCell ref="A273:B273"/>
    <mergeCell ref="C273:D273"/>
    <mergeCell ref="E273:F273"/>
    <mergeCell ref="G273:H273"/>
    <mergeCell ref="I273:J273"/>
    <mergeCell ref="K273:L273"/>
    <mergeCell ref="N273:P273"/>
    <mergeCell ref="Q273:S273"/>
    <mergeCell ref="A271:D272"/>
    <mergeCell ref="E271:H272"/>
    <mergeCell ref="I271:L272"/>
    <mergeCell ref="N271:S272"/>
    <mergeCell ref="T271:U273"/>
    <mergeCell ref="V271:Z273"/>
    <mergeCell ref="A265:I265"/>
    <mergeCell ref="AB265:AC265"/>
    <mergeCell ref="A266:I266"/>
    <mergeCell ref="AB266:AC266"/>
    <mergeCell ref="A267:I267"/>
    <mergeCell ref="AB267:AC267"/>
    <mergeCell ref="AB260:AC261"/>
    <mergeCell ref="A262:I262"/>
    <mergeCell ref="AB262:AC262"/>
    <mergeCell ref="A263:I263"/>
    <mergeCell ref="AB263:AC263"/>
    <mergeCell ref="A264:I264"/>
    <mergeCell ref="AB264:AC264"/>
    <mergeCell ref="A257:AC258"/>
    <mergeCell ref="J260:K260"/>
    <mergeCell ref="L260:M260"/>
    <mergeCell ref="N260:O260"/>
    <mergeCell ref="P260:Q260"/>
    <mergeCell ref="R260:S260"/>
    <mergeCell ref="T260:U260"/>
    <mergeCell ref="V260:W260"/>
    <mergeCell ref="X260:Y260"/>
    <mergeCell ref="Z260:AA260"/>
    <mergeCell ref="A255:K255"/>
    <mergeCell ref="L255:N255"/>
    <mergeCell ref="O255:Q255"/>
    <mergeCell ref="R255:U255"/>
    <mergeCell ref="V255:Z255"/>
    <mergeCell ref="AA255:AC255"/>
    <mergeCell ref="A254:K254"/>
    <mergeCell ref="L254:N254"/>
    <mergeCell ref="O254:Q254"/>
    <mergeCell ref="R254:U254"/>
    <mergeCell ref="V254:Z254"/>
    <mergeCell ref="AA254:AC254"/>
    <mergeCell ref="AA252:AC252"/>
    <mergeCell ref="A253:K253"/>
    <mergeCell ref="L253:N253"/>
    <mergeCell ref="O253:Q253"/>
    <mergeCell ref="R253:U253"/>
    <mergeCell ref="V253:Z253"/>
    <mergeCell ref="AA253:AC253"/>
    <mergeCell ref="L250:N251"/>
    <mergeCell ref="O250:Q251"/>
    <mergeCell ref="R250:U251"/>
    <mergeCell ref="V250:Z251"/>
    <mergeCell ref="AA250:AC251"/>
    <mergeCell ref="A252:K252"/>
    <mergeCell ref="L252:N252"/>
    <mergeCell ref="O252:Q252"/>
    <mergeCell ref="R252:U252"/>
    <mergeCell ref="V252:Z252"/>
    <mergeCell ref="I244:Q244"/>
    <mergeCell ref="R244:U244"/>
    <mergeCell ref="A245:H245"/>
    <mergeCell ref="I245:Q245"/>
    <mergeCell ref="R245:U245"/>
    <mergeCell ref="V245:AC247"/>
    <mergeCell ref="A246:H247"/>
    <mergeCell ref="I246:Q247"/>
    <mergeCell ref="R246:U247"/>
    <mergeCell ref="A236:AC236"/>
    <mergeCell ref="A237:AC237"/>
    <mergeCell ref="A238:AC238"/>
    <mergeCell ref="A239:AC239"/>
    <mergeCell ref="A241:AC241"/>
    <mergeCell ref="A243:H243"/>
    <mergeCell ref="I243:Q243"/>
    <mergeCell ref="R243:U243"/>
    <mergeCell ref="V243:AC244"/>
    <mergeCell ref="A244:H244"/>
    <mergeCell ref="A225:A226"/>
    <mergeCell ref="B226:B227"/>
    <mergeCell ref="M228:R228"/>
    <mergeCell ref="M231:R231"/>
    <mergeCell ref="M232:R232"/>
    <mergeCell ref="AA219:AC221"/>
    <mergeCell ref="A222:E222"/>
    <mergeCell ref="F222:L222"/>
    <mergeCell ref="N222:Q222"/>
    <mergeCell ref="R222:U222"/>
    <mergeCell ref="V222:Z222"/>
    <mergeCell ref="AA222:AC222"/>
    <mergeCell ref="C226:AC227"/>
    <mergeCell ref="N216:P216"/>
    <mergeCell ref="Q216:S216"/>
    <mergeCell ref="T216:U216"/>
    <mergeCell ref="V216:Z216"/>
    <mergeCell ref="AA216:AC216"/>
    <mergeCell ref="A219:E221"/>
    <mergeCell ref="F219:L221"/>
    <mergeCell ref="N219:Q221"/>
    <mergeCell ref="R219:U221"/>
    <mergeCell ref="V219:Z221"/>
    <mergeCell ref="A216:B216"/>
    <mergeCell ref="C216:D216"/>
    <mergeCell ref="E216:F216"/>
    <mergeCell ref="G216:H216"/>
    <mergeCell ref="I216:J216"/>
    <mergeCell ref="K216:L216"/>
    <mergeCell ref="AA213:AC215"/>
    <mergeCell ref="A215:B215"/>
    <mergeCell ref="C215:D215"/>
    <mergeCell ref="E215:F215"/>
    <mergeCell ref="G215:H215"/>
    <mergeCell ref="I215:J215"/>
    <mergeCell ref="K215:L215"/>
    <mergeCell ref="N215:P215"/>
    <mergeCell ref="Q215:S215"/>
    <mergeCell ref="A213:D214"/>
    <mergeCell ref="E213:H214"/>
    <mergeCell ref="I213:L214"/>
    <mergeCell ref="N213:S214"/>
    <mergeCell ref="T213:U215"/>
    <mergeCell ref="V213:Z215"/>
    <mergeCell ref="A207:I207"/>
    <mergeCell ref="AB207:AC207"/>
    <mergeCell ref="A208:I208"/>
    <mergeCell ref="AB208:AC208"/>
    <mergeCell ref="A209:I209"/>
    <mergeCell ref="AB209:AC209"/>
    <mergeCell ref="AB202:AC203"/>
    <mergeCell ref="A204:I204"/>
    <mergeCell ref="AB204:AC204"/>
    <mergeCell ref="A205:I205"/>
    <mergeCell ref="AB205:AC205"/>
    <mergeCell ref="A206:I206"/>
    <mergeCell ref="AB206:AC206"/>
    <mergeCell ref="A199:AC200"/>
    <mergeCell ref="J202:K202"/>
    <mergeCell ref="L202:M202"/>
    <mergeCell ref="N202:O202"/>
    <mergeCell ref="P202:Q202"/>
    <mergeCell ref="R202:S202"/>
    <mergeCell ref="T202:U202"/>
    <mergeCell ref="V202:W202"/>
    <mergeCell ref="X202:Y202"/>
    <mergeCell ref="Z202:AA202"/>
    <mergeCell ref="A197:K197"/>
    <mergeCell ref="L197:N197"/>
    <mergeCell ref="O197:Q197"/>
    <mergeCell ref="R197:U197"/>
    <mergeCell ref="V197:Z197"/>
    <mergeCell ref="AA197:AC197"/>
    <mergeCell ref="A196:K196"/>
    <mergeCell ref="L196:N196"/>
    <mergeCell ref="O196:Q196"/>
    <mergeCell ref="R196:U196"/>
    <mergeCell ref="V196:Z196"/>
    <mergeCell ref="AA196:AC196"/>
    <mergeCell ref="AA194:AC194"/>
    <mergeCell ref="A195:K195"/>
    <mergeCell ref="L195:N195"/>
    <mergeCell ref="O195:Q195"/>
    <mergeCell ref="R195:U195"/>
    <mergeCell ref="V195:Z195"/>
    <mergeCell ref="AA195:AC195"/>
    <mergeCell ref="L192:N193"/>
    <mergeCell ref="O192:Q193"/>
    <mergeCell ref="R192:U193"/>
    <mergeCell ref="V192:Z193"/>
    <mergeCell ref="AA192:AC193"/>
    <mergeCell ref="A194:K194"/>
    <mergeCell ref="L194:N194"/>
    <mergeCell ref="O194:Q194"/>
    <mergeCell ref="R194:U194"/>
    <mergeCell ref="V194:Z194"/>
    <mergeCell ref="I186:Q186"/>
    <mergeCell ref="R186:U186"/>
    <mergeCell ref="A187:H187"/>
    <mergeCell ref="I187:Q187"/>
    <mergeCell ref="R187:U187"/>
    <mergeCell ref="V187:AC189"/>
    <mergeCell ref="A188:H189"/>
    <mergeCell ref="I188:Q189"/>
    <mergeCell ref="R188:U189"/>
    <mergeCell ref="A178:AC178"/>
    <mergeCell ref="A179:AC179"/>
    <mergeCell ref="A180:AC180"/>
    <mergeCell ref="A181:AC181"/>
    <mergeCell ref="A183:AC183"/>
    <mergeCell ref="A185:H185"/>
    <mergeCell ref="I185:Q185"/>
    <mergeCell ref="R185:U185"/>
    <mergeCell ref="V185:AC186"/>
    <mergeCell ref="A186:H186"/>
    <mergeCell ref="A167:A168"/>
    <mergeCell ref="B168:B169"/>
    <mergeCell ref="M170:R170"/>
    <mergeCell ref="M173:R173"/>
    <mergeCell ref="M174:R174"/>
    <mergeCell ref="AA161:AC163"/>
    <mergeCell ref="A164:E164"/>
    <mergeCell ref="F164:L164"/>
    <mergeCell ref="N164:Q164"/>
    <mergeCell ref="R164:U164"/>
    <mergeCell ref="V164:Z164"/>
    <mergeCell ref="AA164:AC164"/>
    <mergeCell ref="C168:AC169"/>
    <mergeCell ref="N158:P158"/>
    <mergeCell ref="Q158:S158"/>
    <mergeCell ref="T158:U158"/>
    <mergeCell ref="V158:Z158"/>
    <mergeCell ref="AA158:AC158"/>
    <mergeCell ref="A161:E163"/>
    <mergeCell ref="F161:L163"/>
    <mergeCell ref="N161:Q163"/>
    <mergeCell ref="R161:U163"/>
    <mergeCell ref="V161:Z163"/>
    <mergeCell ref="A158:B158"/>
    <mergeCell ref="C158:D158"/>
    <mergeCell ref="E158:F158"/>
    <mergeCell ref="G158:H158"/>
    <mergeCell ref="I158:J158"/>
    <mergeCell ref="K158:L158"/>
    <mergeCell ref="AA155:AC157"/>
    <mergeCell ref="A157:B157"/>
    <mergeCell ref="C157:D157"/>
    <mergeCell ref="E157:F157"/>
    <mergeCell ref="G157:H157"/>
    <mergeCell ref="I157:J157"/>
    <mergeCell ref="K157:L157"/>
    <mergeCell ref="N157:P157"/>
    <mergeCell ref="Q157:S157"/>
    <mergeCell ref="A155:D156"/>
    <mergeCell ref="E155:H156"/>
    <mergeCell ref="I155:L156"/>
    <mergeCell ref="N155:S156"/>
    <mergeCell ref="T155:U157"/>
    <mergeCell ref="V155:Z157"/>
    <mergeCell ref="A149:I149"/>
    <mergeCell ref="AB149:AC149"/>
    <mergeCell ref="A150:I150"/>
    <mergeCell ref="AB150:AC150"/>
    <mergeCell ref="A151:I151"/>
    <mergeCell ref="AB151:AC151"/>
    <mergeCell ref="AB144:AC145"/>
    <mergeCell ref="A146:I146"/>
    <mergeCell ref="AB146:AC146"/>
    <mergeCell ref="A147:I147"/>
    <mergeCell ref="AB147:AC147"/>
    <mergeCell ref="A148:I148"/>
    <mergeCell ref="AB148:AC148"/>
    <mergeCell ref="A141:AC142"/>
    <mergeCell ref="J144:K144"/>
    <mergeCell ref="L144:M144"/>
    <mergeCell ref="N144:O144"/>
    <mergeCell ref="P144:Q144"/>
    <mergeCell ref="R144:S144"/>
    <mergeCell ref="T144:U144"/>
    <mergeCell ref="V144:W144"/>
    <mergeCell ref="X144:Y144"/>
    <mergeCell ref="Z144:AA144"/>
    <mergeCell ref="A139:K139"/>
    <mergeCell ref="L139:N139"/>
    <mergeCell ref="O139:Q139"/>
    <mergeCell ref="R139:U139"/>
    <mergeCell ref="V139:Z139"/>
    <mergeCell ref="AA139:AC139"/>
    <mergeCell ref="A138:K138"/>
    <mergeCell ref="L138:N138"/>
    <mergeCell ref="O138:Q138"/>
    <mergeCell ref="R138:U138"/>
    <mergeCell ref="V138:Z138"/>
    <mergeCell ref="AA138:AC138"/>
    <mergeCell ref="AA136:AC136"/>
    <mergeCell ref="A137:K137"/>
    <mergeCell ref="L137:N137"/>
    <mergeCell ref="O137:Q137"/>
    <mergeCell ref="R137:U137"/>
    <mergeCell ref="V137:Z137"/>
    <mergeCell ref="AA137:AC137"/>
    <mergeCell ref="L134:N135"/>
    <mergeCell ref="O134:Q135"/>
    <mergeCell ref="R134:U135"/>
    <mergeCell ref="V134:Z135"/>
    <mergeCell ref="AA134:AC135"/>
    <mergeCell ref="A136:K136"/>
    <mergeCell ref="L136:N136"/>
    <mergeCell ref="O136:Q136"/>
    <mergeCell ref="R136:U136"/>
    <mergeCell ref="V136:Z136"/>
    <mergeCell ref="I128:Q128"/>
    <mergeCell ref="R128:U128"/>
    <mergeCell ref="A129:H129"/>
    <mergeCell ref="I129:Q129"/>
    <mergeCell ref="R129:U129"/>
    <mergeCell ref="V129:AC131"/>
    <mergeCell ref="A130:H131"/>
    <mergeCell ref="I130:Q131"/>
    <mergeCell ref="R130:U131"/>
    <mergeCell ref="A120:AC120"/>
    <mergeCell ref="A121:AC121"/>
    <mergeCell ref="A122:AC122"/>
    <mergeCell ref="A123:AC123"/>
    <mergeCell ref="A125:AC125"/>
    <mergeCell ref="A127:H127"/>
    <mergeCell ref="I127:Q127"/>
    <mergeCell ref="R127:U127"/>
    <mergeCell ref="V127:AC128"/>
    <mergeCell ref="A128:H128"/>
    <mergeCell ref="A109:A110"/>
    <mergeCell ref="B110:B111"/>
    <mergeCell ref="M112:R112"/>
    <mergeCell ref="M115:R115"/>
    <mergeCell ref="M116:R116"/>
    <mergeCell ref="AA103:AC105"/>
    <mergeCell ref="A106:E106"/>
    <mergeCell ref="F106:L106"/>
    <mergeCell ref="N106:Q106"/>
    <mergeCell ref="R106:U106"/>
    <mergeCell ref="V106:Z106"/>
    <mergeCell ref="AA106:AC106"/>
    <mergeCell ref="C110:AC111"/>
    <mergeCell ref="N100:P100"/>
    <mergeCell ref="Q100:S100"/>
    <mergeCell ref="T100:U100"/>
    <mergeCell ref="V100:Z100"/>
    <mergeCell ref="AA100:AC100"/>
    <mergeCell ref="A103:E105"/>
    <mergeCell ref="F103:L105"/>
    <mergeCell ref="N103:Q105"/>
    <mergeCell ref="R103:U105"/>
    <mergeCell ref="V103:Z105"/>
    <mergeCell ref="A100:B100"/>
    <mergeCell ref="C100:D100"/>
    <mergeCell ref="E100:F100"/>
    <mergeCell ref="G100:H100"/>
    <mergeCell ref="I100:J100"/>
    <mergeCell ref="K100:L100"/>
    <mergeCell ref="AA97:AC99"/>
    <mergeCell ref="A99:B99"/>
    <mergeCell ref="C99:D99"/>
    <mergeCell ref="E99:F99"/>
    <mergeCell ref="G99:H99"/>
    <mergeCell ref="I99:J99"/>
    <mergeCell ref="K99:L99"/>
    <mergeCell ref="N99:P99"/>
    <mergeCell ref="Q99:S99"/>
    <mergeCell ref="A97:D98"/>
    <mergeCell ref="E97:H98"/>
    <mergeCell ref="I97:L98"/>
    <mergeCell ref="N97:S98"/>
    <mergeCell ref="T97:U99"/>
    <mergeCell ref="V97:Z99"/>
    <mergeCell ref="A91:I91"/>
    <mergeCell ref="AB91:AC91"/>
    <mergeCell ref="A92:I92"/>
    <mergeCell ref="AB92:AC92"/>
    <mergeCell ref="A93:I93"/>
    <mergeCell ref="AB93:AC93"/>
    <mergeCell ref="AB86:AC87"/>
    <mergeCell ref="A88:I88"/>
    <mergeCell ref="AB88:AC88"/>
    <mergeCell ref="A89:I89"/>
    <mergeCell ref="AB89:AC89"/>
    <mergeCell ref="A90:I90"/>
    <mergeCell ref="AB90:AC90"/>
    <mergeCell ref="A83:AC84"/>
    <mergeCell ref="J86:K86"/>
    <mergeCell ref="L86:M86"/>
    <mergeCell ref="N86:O86"/>
    <mergeCell ref="P86:Q86"/>
    <mergeCell ref="R86:S86"/>
    <mergeCell ref="T86:U86"/>
    <mergeCell ref="V86:W86"/>
    <mergeCell ref="X86:Y86"/>
    <mergeCell ref="Z86:AA86"/>
    <mergeCell ref="A81:K81"/>
    <mergeCell ref="L81:N81"/>
    <mergeCell ref="O81:Q81"/>
    <mergeCell ref="R81:U81"/>
    <mergeCell ref="V81:Z81"/>
    <mergeCell ref="AA81:AC81"/>
    <mergeCell ref="A80:K80"/>
    <mergeCell ref="L80:N80"/>
    <mergeCell ref="O80:Q80"/>
    <mergeCell ref="R80:U80"/>
    <mergeCell ref="V80:Z80"/>
    <mergeCell ref="AA80:AC80"/>
    <mergeCell ref="AA78:AC78"/>
    <mergeCell ref="A79:K79"/>
    <mergeCell ref="L79:N79"/>
    <mergeCell ref="O79:Q79"/>
    <mergeCell ref="R79:U79"/>
    <mergeCell ref="V79:Z79"/>
    <mergeCell ref="AA79:AC79"/>
    <mergeCell ref="L76:N77"/>
    <mergeCell ref="O76:Q77"/>
    <mergeCell ref="R76:U77"/>
    <mergeCell ref="V76:Z77"/>
    <mergeCell ref="AA76:AC77"/>
    <mergeCell ref="A78:K78"/>
    <mergeCell ref="L78:N78"/>
    <mergeCell ref="O78:Q78"/>
    <mergeCell ref="R78:U78"/>
    <mergeCell ref="V78:Z78"/>
    <mergeCell ref="I70:Q70"/>
    <mergeCell ref="R70:U70"/>
    <mergeCell ref="A71:H71"/>
    <mergeCell ref="I71:Q71"/>
    <mergeCell ref="R71:U71"/>
    <mergeCell ref="V71:AC73"/>
    <mergeCell ref="A72:H73"/>
    <mergeCell ref="I72:Q73"/>
    <mergeCell ref="R72:U73"/>
    <mergeCell ref="A62:AC62"/>
    <mergeCell ref="A63:AC63"/>
    <mergeCell ref="A64:AC64"/>
    <mergeCell ref="A65:AC65"/>
    <mergeCell ref="A67:AC67"/>
    <mergeCell ref="A69:H69"/>
    <mergeCell ref="I69:Q69"/>
    <mergeCell ref="R69:U69"/>
    <mergeCell ref="V69:AC70"/>
    <mergeCell ref="A70:H70"/>
    <mergeCell ref="A51:A52"/>
    <mergeCell ref="B52:B53"/>
    <mergeCell ref="M54:R54"/>
    <mergeCell ref="AA45:AC47"/>
    <mergeCell ref="A48:E48"/>
    <mergeCell ref="F48:L48"/>
    <mergeCell ref="N48:Q48"/>
    <mergeCell ref="R48:U48"/>
    <mergeCell ref="V48:Z48"/>
    <mergeCell ref="AA48:AC48"/>
    <mergeCell ref="C52:AC53"/>
    <mergeCell ref="K57:T57"/>
    <mergeCell ref="K58:T58"/>
    <mergeCell ref="N42:P42"/>
    <mergeCell ref="Q42:S42"/>
    <mergeCell ref="T42:U42"/>
    <mergeCell ref="V42:Z42"/>
    <mergeCell ref="AA42:AC42"/>
    <mergeCell ref="A45:E47"/>
    <mergeCell ref="F45:L47"/>
    <mergeCell ref="N45:Q47"/>
    <mergeCell ref="R45:U47"/>
    <mergeCell ref="V45:Z47"/>
    <mergeCell ref="A42:B42"/>
    <mergeCell ref="C42:D42"/>
    <mergeCell ref="E42:F42"/>
    <mergeCell ref="G42:H42"/>
    <mergeCell ref="I42:J42"/>
    <mergeCell ref="K42:L42"/>
    <mergeCell ref="AA39:AC41"/>
    <mergeCell ref="A41:B41"/>
    <mergeCell ref="C41:D41"/>
    <mergeCell ref="E41:F41"/>
    <mergeCell ref="G41:H41"/>
    <mergeCell ref="I41:J41"/>
    <mergeCell ref="K41:L41"/>
    <mergeCell ref="N41:P41"/>
    <mergeCell ref="Q41:S41"/>
    <mergeCell ref="A39:D40"/>
    <mergeCell ref="E39:H40"/>
    <mergeCell ref="I39:L40"/>
    <mergeCell ref="N39:S40"/>
    <mergeCell ref="T39:U41"/>
    <mergeCell ref="V39:Z41"/>
    <mergeCell ref="A33:I33"/>
    <mergeCell ref="AB33:AC33"/>
    <mergeCell ref="A34:I34"/>
    <mergeCell ref="AB34:AC34"/>
    <mergeCell ref="A35:I35"/>
    <mergeCell ref="AB35:AC35"/>
    <mergeCell ref="AB28:AC29"/>
    <mergeCell ref="A30:I30"/>
    <mergeCell ref="AB30:AC30"/>
    <mergeCell ref="A31:I31"/>
    <mergeCell ref="AB31:AC31"/>
    <mergeCell ref="A32:I32"/>
    <mergeCell ref="AB32:AC32"/>
    <mergeCell ref="A25:AC26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23:K23"/>
    <mergeCell ref="L23:N23"/>
    <mergeCell ref="O23:Q23"/>
    <mergeCell ref="R23:U23"/>
    <mergeCell ref="V23:Z23"/>
    <mergeCell ref="AA23:AC23"/>
    <mergeCell ref="A22:K22"/>
    <mergeCell ref="L22:N22"/>
    <mergeCell ref="O22:Q22"/>
    <mergeCell ref="R22:U22"/>
    <mergeCell ref="V22:Z22"/>
    <mergeCell ref="AA22:AC22"/>
    <mergeCell ref="AA20:AC20"/>
    <mergeCell ref="A21:K21"/>
    <mergeCell ref="L21:N21"/>
    <mergeCell ref="O21:Q21"/>
    <mergeCell ref="R21:U21"/>
    <mergeCell ref="V21:Z21"/>
    <mergeCell ref="AA21:AC21"/>
    <mergeCell ref="A4:AC4"/>
    <mergeCell ref="A5:AC5"/>
    <mergeCell ref="A6:AC6"/>
    <mergeCell ref="A7:AC7"/>
    <mergeCell ref="A9:AC9"/>
    <mergeCell ref="A11:H11"/>
    <mergeCell ref="I11:Q11"/>
    <mergeCell ref="R11:U11"/>
    <mergeCell ref="V11:AC12"/>
    <mergeCell ref="A12:H12"/>
    <mergeCell ref="L18:N19"/>
    <mergeCell ref="O18:Q19"/>
    <mergeCell ref="R18:U19"/>
    <mergeCell ref="V18:Z19"/>
    <mergeCell ref="AA18:AC19"/>
    <mergeCell ref="A20:K20"/>
    <mergeCell ref="L20:N20"/>
    <mergeCell ref="O20:Q20"/>
    <mergeCell ref="R20:U20"/>
    <mergeCell ref="V20:Z20"/>
    <mergeCell ref="I12:Q12"/>
    <mergeCell ref="R12:U12"/>
    <mergeCell ref="A13:H13"/>
    <mergeCell ref="I13:Q13"/>
    <mergeCell ref="R13:U13"/>
    <mergeCell ref="V13:AC15"/>
    <mergeCell ref="A14:H15"/>
    <mergeCell ref="I14:Q15"/>
    <mergeCell ref="R14:U15"/>
  </mergeCells>
  <pageMargins left="0.25" right="0.25" top="0.25" bottom="0.25" header="0.15" footer="0.15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Kli. Bairo Pite 2025</vt:lpstr>
      <vt:lpstr>Sheet1</vt:lpstr>
      <vt:lpstr>Sheet2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laurindo</dc:creator>
  <cp:lastModifiedBy>User</cp:lastModifiedBy>
  <cp:lastPrinted>2002-03-13T17:00:39Z</cp:lastPrinted>
  <dcterms:created xsi:type="dcterms:W3CDTF">2012-03-06T04:31:54Z</dcterms:created>
  <dcterms:modified xsi:type="dcterms:W3CDTF">2002-05-10T16:30:40Z</dcterms:modified>
</cp:coreProperties>
</file>